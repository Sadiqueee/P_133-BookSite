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F:\Projet\Hardegger - siteLivre\"/>
    </mc:Choice>
  </mc:AlternateContent>
  <bookViews>
    <workbookView xWindow="0" yWindow="0" windowWidth="25200" windowHeight="1185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s>
  <definedNames>
    <definedName name="datDateBegin">Donnees!$C$9</definedName>
    <definedName name="ListTasks" localSheetId="5">#REF!</definedName>
    <definedName name="ListTasks">#REF!</definedName>
    <definedName name="lstTasks">Donnees!$C$20:$C$45</definedName>
    <definedName name="NbLessons" localSheetId="5">#REF!</definedName>
    <definedName name="NbLessons">#REF!</definedName>
    <definedName name="NbPerWeek">Donnees!$C$12</definedName>
    <definedName name="NbQuartPer">Donnees!$C$13</definedName>
    <definedName name="NbWeeks">Donnees!$C$11</definedName>
    <definedName name="objFooterDiagram">DiagramFooter!$B$3:$C$4</definedName>
    <definedName name="objPlanifWeek">PlanificationWeek!$A$1:$D$14</definedName>
    <definedName name="objRealizedWeek" localSheetId="4">achievementWeek!$A$1:$D$19</definedName>
    <definedName name="objRealizedWeek" localSheetId="5">JNLTRAV!$A$1:$D$19</definedName>
    <definedName name="_xlnm.Print_Area" localSheetId="0">Donnees!$A$1:$G$47</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D305" i="155" l="1"/>
  <c r="D286" i="155"/>
  <c r="D267" i="155"/>
  <c r="D248" i="155"/>
  <c r="D229" i="155"/>
  <c r="D210" i="155"/>
  <c r="D191" i="155"/>
  <c r="D172" i="155"/>
  <c r="D153" i="155"/>
  <c r="D134" i="155"/>
  <c r="D115" i="155"/>
  <c r="D96" i="155"/>
  <c r="D77" i="155"/>
  <c r="D58" i="155"/>
  <c r="D39" i="155"/>
  <c r="D20" i="155"/>
  <c r="D1" i="155"/>
  <c r="B322" i="155"/>
  <c r="B303" i="155"/>
  <c r="B284" i="155"/>
  <c r="B265" i="155"/>
  <c r="B246" i="155"/>
  <c r="B227" i="155"/>
  <c r="B208" i="155"/>
  <c r="B189" i="155"/>
  <c r="B170" i="155"/>
  <c r="B151" i="155"/>
  <c r="B132" i="155"/>
  <c r="B113" i="155"/>
  <c r="B94" i="155"/>
  <c r="B75" i="155"/>
  <c r="B56" i="155"/>
  <c r="B37" i="155"/>
  <c r="B18" i="155"/>
  <c r="B18" i="154" l="1"/>
  <c r="B13" i="11" l="1"/>
</calcChain>
</file>

<file path=xl/sharedStrings.xml><?xml version="1.0" encoding="utf-8"?>
<sst xmlns="http://schemas.openxmlformats.org/spreadsheetml/2006/main" count="213" uniqueCount="56">
  <si>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</si>
  <si>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</si>
  <si>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</si>
  <si>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</si>
  <si>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</si>
  <si>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</si>
  <si>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</si>
  <si>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</si>
  <si>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</si>
  <si>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</si>
  <si>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</si>
  <si>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</si>
  <si>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</si>
  <si>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</si>
  <si>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</si>
  <si>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</si>
  <si>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</si>
  <si>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</si>
  <si>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</si>
  <si>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</si>
  <si>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</si>
  <si>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</si>
  <si>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</si>
  <si>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</si>
  <si>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040_Web2</t>
  </si>
  <si>
    <t>Géraud Silvestri</t>
  </si>
  <si>
    <t>Mid2</t>
  </si>
  <si>
    <t>ETML</t>
  </si>
  <si>
    <t>Max. 12</t>
  </si>
  <si>
    <t>STOP</t>
  </si>
  <si>
    <t>Création de la BDD</t>
  </si>
  <si>
    <t>Introduction au projet</t>
  </si>
  <si>
    <t>Remise du cahier des cahrges par Mme. Hardegger, lecture et clarfification du CdC.
Explications données par Mme. Hardegger pour clarifier le but du projet
Choix du sujet du site
Choix : site sur les livres, car j'aime beaucoup lire et David aime aussi lire, c'était donc le sujet qui m'interpellait le plus</t>
  </si>
  <si>
    <t>Cahier des charges</t>
  </si>
  <si>
    <t>Création du MCD &amp; MLD de la base de données sur db_main
Après avoir finis de créer la BDD et faite contrôlée par David, tentative de création du SQL
Tentative échouée, db_main crash à chaque fois que l'on tente de générer le SQL
Copie de la BDD sur Jmerise et création d'un premier script SQL</t>
  </si>
  <si>
    <t>script.sql</t>
  </si>
  <si>
    <t>MCD &amp; MLD</t>
  </si>
  <si>
    <t>JNLDTRV</t>
  </si>
  <si>
    <t>Reprise de la BDD
Tentative de créer la BDD sur EasyPHP, tentative échouée, il y avait des erreurs dans le code
Reprise du code et modification légère de la BDD
Création de la BDD sur EasyPHP</t>
  </si>
  <si>
    <t>Création du journal de travail et mise à jour des données pour la semaine n°1</t>
  </si>
  <si>
    <t>Design du site</t>
  </si>
  <si>
    <t>Recherche d'un template bootstrap pour le design de notre site. Modification du template pour afficher notre icône.
Problèmes rencontrés : le site continue de prendre une image même lorsque celle-ci n'est plus dans le dossier</t>
  </si>
  <si>
    <t>index.html</t>
  </si>
  <si>
    <t>Modification du MCD afin que la table user contiennent les paramètres décrit sur le CdC</t>
  </si>
  <si>
    <t>nouveau script</t>
  </si>
  <si>
    <t>Demande de Ricardo Cardoso Oliveira par rapport au SQL de sa BDD</t>
  </si>
  <si>
    <t>Page de création de compte</t>
  </si>
  <si>
    <t>Page presque terminée, le programme vérifie que les mots de passe soient identiques et que tout les champs soient remplis, puis récupère toutes les données. Il ne manque plus que les regex pour l'email, le nom et nom de famille et l'envoi des données à la BDD</t>
  </si>
  <si>
    <t>page d'inscription</t>
  </si>
  <si>
    <t>Reprise de la page création d'un compte, transfert de Jquery à PHP, mise en place des regex afin de vérifier le nom, prénom, l'adresse mail et le mot de passe
Problèmes rencontrés : problèmes rencontrés pour détecter le fait que l'on appuie sur le bouton "valider", après avoir régler ce problème et créer des pops-up pour les messages d'alertes, deuxième problème, la page secondaire en php ne contenant rien se load, résolution en passant le php dans la page principale</t>
  </si>
  <si>
    <t>source</t>
  </si>
  <si>
    <t>Continuation de la page pour se créer un compte, modification du code afin qu'il soit plus propre.
Commencement de la partie pour envoyer les données dans la base données, la partie pour enregistrer les données dans la BDD est opérationelle, il ne manque plus qu'a sécuriser le mdp
Problèmes rencontrés : sans compter les oublis de ' ' ou de " ", entre autres, il y avait un problème car j'essayer d'ouvrir une bdd sur EasyPHP alors que le programme tourne sur uWamp, il était donc impossible de trouver la BDD recherchée. Il y avait un problème comme quoi même quand les données ne  sont pas conformes, l'enregistrement se fait quand même, le dernier problème rencontrés, c'était qu'en cliquant sur le bouton, cela loadait une nouvelle page php alors que je voulais qu'elle reste sur la même, problème résolu en liant la classe php à la première page php et en appelant cette dernière lorsque le bouton est cliqué.</t>
  </si>
  <si>
    <t>Sécuriser le mot de passe</t>
  </si>
  <si>
    <t>Début des recherches sur comment sécuriser le mot de passe en php, réussite de sécurisation du mot de passe en utilisant la ligne de commande : 
"$password = password_hash($password, PASSWORD_DEFAULT);</t>
  </si>
  <si>
    <t>Création du git</t>
  </si>
  <si>
    <t>Création et initialisation du dossier git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</si>
</sst>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98">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7" fillId="2" borderId="13" xfId="0" applyNumberFormat="1" applyFont="1" applyFill="1" applyBorder="1" applyAlignment="1" applyProtection="1">
      <alignment horizontal="left" vertical="center"/>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9" fillId="12" borderId="13" xfId="0" applyFont="1" applyFill="1" applyBorder="1" applyAlignment="1" applyProtection="1">
      <alignment horizontal="left" vertical="top" wrapText="1"/>
    </xf>
    <xf numFmtId="0" fontId="16" fillId="9" borderId="0" xfId="0" applyFont="1" applyFill="1"/>
    <xf numFmtId="0" fontId="0" fillId="0" borderId="1" xfId="0" applyFont="1" applyFill="1" applyBorder="1" applyAlignment="1" applyProtection="1">
      <alignment horizontal="left" vertical="top" wrapText="1"/>
      <protection locked="0"/>
    </xf>
    <xf numFmtId="0" fontId="1" fillId="0" borderId="1" xfId="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1" fillId="0" borderId="2" xfId="1" applyFill="1" applyBorder="1" applyAlignment="1" applyProtection="1">
      <alignment horizontal="left" vertical="top" wrapText="1"/>
      <protection locked="0"/>
    </xf>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2"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ustomBuiltin="1"/>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190500</xdr:colOff>
          <xdr:row>2</xdr:row>
          <xdr:rowOff>228600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3.vml"/><Relationship Id="rId1" Type="http://schemas.openxmlformats.org/officeDocument/2006/relationships/drawing" Target="../drawings/drawing2.xml"/><Relationship Id="rId4"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hyperlink" Target="https://openclassrooms.com/courses/securiser-les-mots-de-passe-des-utilisateurs-avec-php" TargetMode="External"/><Relationship Id="rId13" Type="http://schemas.openxmlformats.org/officeDocument/2006/relationships/image" Target="../media/image7.emf"/><Relationship Id="rId3" Type="http://schemas.openxmlformats.org/officeDocument/2006/relationships/hyperlink" Target="X-040-silvestrge-ScriptSQL.sql" TargetMode="External"/><Relationship Id="rId7" Type="http://schemas.openxmlformats.org/officeDocument/2006/relationships/hyperlink" Target="http://php.net/manual/fr/pdo.query.php" TargetMode="External"/><Relationship Id="rId12" Type="http://schemas.openxmlformats.org/officeDocument/2006/relationships/control" Target="../activeX/activeX6.xml"/><Relationship Id="rId2" Type="http://schemas.openxmlformats.org/officeDocument/2006/relationships/hyperlink" Target="X-040-silvestrge-MCD_MLD.mcd" TargetMode="External"/><Relationship Id="rId1" Type="http://schemas.openxmlformats.org/officeDocument/2006/relationships/hyperlink" Target="2C-E-P_Web2-AMG001-CdC.pdf" TargetMode="External"/><Relationship Id="rId6" Type="http://schemas.openxmlformats.org/officeDocument/2006/relationships/hyperlink" Target="..\..\Outils\UwAmp\www\X-040-silvestrge-bookSite\valet\New%20user.php" TargetMode="External"/><Relationship Id="rId11" Type="http://schemas.openxmlformats.org/officeDocument/2006/relationships/vmlDrawing" Target="../drawings/vmlDrawing5.vml"/><Relationship Id="rId5" Type="http://schemas.openxmlformats.org/officeDocument/2006/relationships/hyperlink" Target="X-040-silvestrge-ScriptSQL.sql" TargetMode="External"/><Relationship Id="rId10" Type="http://schemas.openxmlformats.org/officeDocument/2006/relationships/drawing" Target="../drawings/drawing4.xml"/><Relationship Id="rId4" Type="http://schemas.openxmlformats.org/officeDocument/2006/relationships/hyperlink" Target="..\..\Outils\UwAmp\www\X-040-silvestrge-bookSite\valet\index.html" TargetMode="External"/><Relationship Id="rId9"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pageSetUpPr fitToPage="1"/>
  </sheetPr>
  <dimension ref="A1:M73"/>
  <sheetViews>
    <sheetView view="pageBreakPreview" topLeftCell="A10" zoomScaleNormal="100" zoomScaleSheetLayoutView="100" workbookViewId="0">
      <selection activeCell="C27" sqref="C27"/>
    </sheetView>
  </sheetViews>
  <sheetFormatPr baseColWidth="10" defaultColWidth="11.5703125" defaultRowHeight="13.5" x14ac:dyDescent="0.25"/>
  <cols>
    <col min="1" max="1" width="16.5703125" style="59" customWidth="1"/>
    <col min="2" max="2" width="55.140625" style="59" customWidth="1"/>
    <col min="3" max="3" width="88.5703125" style="59" customWidth="1"/>
    <col min="4" max="4" width="3.42578125" style="59" customWidth="1"/>
    <col min="5" max="6" width="11.5703125" style="59"/>
    <col min="7" max="7" width="3.28515625" style="59" customWidth="1"/>
    <col min="8" max="16384" width="11.5703125" style="59"/>
  </cols>
  <sheetData>
    <row r="1" spans="1:7" x14ac:dyDescent="0.25">
      <c r="A1" s="56"/>
      <c r="B1" s="57"/>
      <c r="C1" s="57"/>
      <c r="D1" s="57"/>
      <c r="E1" s="57"/>
      <c r="F1" s="57"/>
      <c r="G1" s="58"/>
    </row>
    <row r="2" spans="1:7" ht="14.25" thickBot="1" x14ac:dyDescent="0.3">
      <c r="A2" s="60"/>
      <c r="B2" s="61"/>
      <c r="C2" s="61"/>
      <c r="D2" s="61"/>
      <c r="E2" s="61"/>
      <c r="F2" s="61"/>
      <c r="G2" s="62"/>
    </row>
    <row r="3" spans="1:7" ht="20.25" x14ac:dyDescent="0.25">
      <c r="A3" s="60"/>
      <c r="B3" s="63" t="s">
        <v>0</v>
      </c>
      <c r="C3" s="64" t="s">
        <v>24</v>
      </c>
      <c r="D3" s="61"/>
      <c r="E3" s="61"/>
      <c r="F3" s="61"/>
      <c r="G3" s="62"/>
    </row>
    <row r="4" spans="1:7" ht="20.25" x14ac:dyDescent="0.25">
      <c r="A4" s="60"/>
      <c r="B4" s="65" t="s">
        <v>4</v>
      </c>
      <c r="C4" s="66" t="s">
        <v>25</v>
      </c>
      <c r="D4" s="61"/>
      <c r="E4" s="61"/>
      <c r="F4" s="61"/>
      <c r="G4" s="62"/>
    </row>
    <row r="5" spans="1:7" ht="20.25" x14ac:dyDescent="0.25">
      <c r="A5" s="60"/>
      <c r="B5" s="65" t="s">
        <v>1</v>
      </c>
      <c r="C5" s="66" t="s">
        <v>26</v>
      </c>
      <c r="D5" s="61"/>
      <c r="E5" s="61"/>
      <c r="F5" s="61"/>
      <c r="G5" s="62"/>
    </row>
    <row r="6" spans="1:7" ht="21" thickBot="1" x14ac:dyDescent="0.3">
      <c r="A6" s="60"/>
      <c r="B6" s="67" t="s">
        <v>2</v>
      </c>
      <c r="C6" s="68" t="s">
        <v>27</v>
      </c>
      <c r="D6" s="61"/>
      <c r="E6" s="61"/>
      <c r="F6" s="61"/>
      <c r="G6" s="62"/>
    </row>
    <row r="7" spans="1:7" x14ac:dyDescent="0.25">
      <c r="A7" s="60"/>
      <c r="B7" s="61"/>
      <c r="C7" s="61"/>
      <c r="D7" s="61"/>
      <c r="E7" s="61"/>
      <c r="F7" s="61"/>
      <c r="G7" s="62"/>
    </row>
    <row r="8" spans="1:7" ht="14.25" thickBot="1" x14ac:dyDescent="0.3">
      <c r="A8" s="60"/>
      <c r="B8" s="61"/>
      <c r="C8" s="61"/>
      <c r="D8" s="61"/>
      <c r="E8" s="61"/>
      <c r="F8" s="61"/>
      <c r="G8" s="62"/>
    </row>
    <row r="9" spans="1:7" ht="20.25" x14ac:dyDescent="0.25">
      <c r="A9" s="60"/>
      <c r="B9" s="63" t="s">
        <v>9</v>
      </c>
      <c r="C9" s="69">
        <v>43112</v>
      </c>
      <c r="D9" s="61"/>
      <c r="E9" s="61"/>
      <c r="F9" s="61"/>
      <c r="G9" s="62"/>
    </row>
    <row r="10" spans="1:7" ht="20.25" x14ac:dyDescent="0.25">
      <c r="A10" s="60"/>
      <c r="B10" s="70" t="s">
        <v>8</v>
      </c>
      <c r="C10" s="71">
        <v>43245</v>
      </c>
      <c r="D10" s="61"/>
      <c r="E10" s="61"/>
      <c r="F10" s="61"/>
      <c r="G10" s="62"/>
    </row>
    <row r="11" spans="1:7" ht="20.25" x14ac:dyDescent="0.25">
      <c r="A11" s="60"/>
      <c r="B11" s="70" t="s">
        <v>10</v>
      </c>
      <c r="C11" s="72">
        <v>17</v>
      </c>
      <c r="D11" s="61"/>
      <c r="E11" s="61"/>
      <c r="F11" s="61"/>
      <c r="G11" s="62"/>
    </row>
    <row r="12" spans="1:7" ht="20.25" x14ac:dyDescent="0.25">
      <c r="A12" s="60"/>
      <c r="B12" s="65" t="s">
        <v>11</v>
      </c>
      <c r="C12" s="73">
        <v>4</v>
      </c>
      <c r="D12" s="61"/>
      <c r="E12" s="61"/>
      <c r="F12" s="61"/>
      <c r="G12" s="62"/>
    </row>
    <row r="13" spans="1:7" ht="20.25" x14ac:dyDescent="0.25">
      <c r="A13" s="60"/>
      <c r="B13" s="65" t="s">
        <v>12</v>
      </c>
      <c r="C13" s="73">
        <v>3</v>
      </c>
      <c r="D13" s="61"/>
      <c r="E13" s="61"/>
      <c r="F13" s="61"/>
      <c r="G13" s="62"/>
    </row>
    <row r="14" spans="1:7" ht="20.25" thickBot="1" x14ac:dyDescent="0.3">
      <c r="A14" s="60"/>
      <c r="B14" s="74"/>
      <c r="C14" s="75" t="s">
        <v>6</v>
      </c>
      <c r="D14" s="61"/>
      <c r="E14" s="61"/>
      <c r="F14" s="61"/>
      <c r="G14" s="62"/>
    </row>
    <row r="15" spans="1:7" x14ac:dyDescent="0.25">
      <c r="A15" s="60"/>
      <c r="B15" s="61"/>
      <c r="C15" s="61"/>
      <c r="D15" s="61"/>
      <c r="E15" s="61"/>
      <c r="F15" s="61"/>
      <c r="G15" s="62"/>
    </row>
    <row r="16" spans="1:7" ht="14.25" thickBot="1" x14ac:dyDescent="0.3">
      <c r="A16" s="76"/>
      <c r="B16" s="77"/>
      <c r="C16" s="77"/>
      <c r="D16" s="77"/>
      <c r="E16" s="77"/>
      <c r="F16" s="77"/>
      <c r="G16" s="78"/>
    </row>
    <row r="17" spans="1:13" x14ac:dyDescent="0.25">
      <c r="A17" s="79"/>
      <c r="B17" s="57"/>
      <c r="C17" s="57"/>
      <c r="D17" s="57"/>
      <c r="E17" s="57"/>
      <c r="F17" s="57"/>
      <c r="G17" s="58"/>
    </row>
    <row r="18" spans="1:13" ht="14.25" thickBot="1" x14ac:dyDescent="0.3">
      <c r="A18" s="80"/>
      <c r="B18" s="61"/>
      <c r="C18" s="61"/>
      <c r="D18" s="61"/>
      <c r="E18" s="61"/>
      <c r="F18" s="61"/>
      <c r="G18" s="62"/>
    </row>
    <row r="19" spans="1:13" ht="21" thickBot="1" x14ac:dyDescent="0.3">
      <c r="A19" s="80"/>
      <c r="B19" s="94" t="s">
        <v>19</v>
      </c>
      <c r="C19" s="95"/>
      <c r="D19" s="61"/>
      <c r="E19" s="61"/>
      <c r="F19" s="61"/>
      <c r="G19" s="62"/>
    </row>
    <row r="20" spans="1:13" ht="20.25" x14ac:dyDescent="0.25">
      <c r="A20" s="80"/>
      <c r="B20" s="81" t="s">
        <v>20</v>
      </c>
      <c r="C20" s="82" t="s">
        <v>21</v>
      </c>
      <c r="D20" s="61"/>
      <c r="E20" s="61"/>
      <c r="F20" s="61"/>
      <c r="G20" s="62"/>
    </row>
    <row r="21" spans="1:13" ht="20.25" x14ac:dyDescent="0.25">
      <c r="A21" s="80"/>
      <c r="B21" s="81">
        <v>1</v>
      </c>
      <c r="C21" s="71" t="s">
        <v>30</v>
      </c>
      <c r="D21" s="61"/>
      <c r="E21" s="61"/>
      <c r="F21" s="61"/>
      <c r="G21" s="62"/>
    </row>
    <row r="22" spans="1:13" ht="20.25" x14ac:dyDescent="0.25">
      <c r="A22" s="80"/>
      <c r="B22" s="81">
        <v>2</v>
      </c>
      <c r="C22" s="72" t="s">
        <v>31</v>
      </c>
      <c r="D22" s="61"/>
      <c r="E22" s="61"/>
      <c r="F22" s="61"/>
      <c r="G22" s="62"/>
    </row>
    <row r="23" spans="1:13" ht="20.25" x14ac:dyDescent="0.25">
      <c r="A23" s="80"/>
      <c r="B23" s="83">
        <v>3</v>
      </c>
      <c r="C23" s="72" t="s">
        <v>37</v>
      </c>
      <c r="D23" s="61"/>
      <c r="E23" s="61"/>
      <c r="F23" s="61"/>
      <c r="G23" s="62"/>
    </row>
    <row r="24" spans="1:13" ht="20.25" x14ac:dyDescent="0.25">
      <c r="A24" s="80"/>
      <c r="B24" s="81">
        <v>4</v>
      </c>
      <c r="C24" s="72" t="s">
        <v>40</v>
      </c>
      <c r="D24" s="61"/>
      <c r="E24" s="61"/>
      <c r="F24" s="61"/>
      <c r="G24" s="62"/>
    </row>
    <row r="25" spans="1:13" ht="20.25" x14ac:dyDescent="0.25">
      <c r="A25" s="80"/>
      <c r="B25" s="81">
        <v>5</v>
      </c>
      <c r="C25" s="72" t="s">
        <v>46</v>
      </c>
      <c r="D25" s="61"/>
      <c r="E25" s="61"/>
      <c r="F25" s="61"/>
      <c r="G25" s="62"/>
    </row>
    <row r="26" spans="1:13" ht="20.25" x14ac:dyDescent="0.25">
      <c r="A26" s="80"/>
      <c r="B26" s="83">
        <v>6</v>
      </c>
      <c r="C26" s="72" t="s">
        <v>52</v>
      </c>
      <c r="D26" s="61"/>
      <c r="E26" s="61"/>
      <c r="F26" s="61"/>
      <c r="G26" s="62"/>
    </row>
    <row r="27" spans="1:13" ht="20.25" x14ac:dyDescent="0.25">
      <c r="A27" s="80"/>
      <c r="B27" s="81">
        <v>7</v>
      </c>
      <c r="C27" s="72" t="s">
        <v>54</v>
      </c>
      <c r="D27" s="61"/>
      <c r="E27" s="61"/>
      <c r="F27" s="61"/>
      <c r="G27" s="62"/>
    </row>
    <row r="28" spans="1:13" ht="20.25" x14ac:dyDescent="0.25">
      <c r="A28" s="80"/>
      <c r="B28" s="81">
        <v>8</v>
      </c>
      <c r="C28" s="73"/>
      <c r="D28" s="61"/>
      <c r="E28" s="61"/>
      <c r="F28" s="61"/>
      <c r="G28" s="62"/>
    </row>
    <row r="29" spans="1:13" ht="20.25" x14ac:dyDescent="0.25">
      <c r="A29" s="80"/>
      <c r="B29" s="83">
        <v>9</v>
      </c>
      <c r="C29" s="73"/>
      <c r="D29" s="61"/>
      <c r="E29" s="61"/>
      <c r="F29" s="61"/>
      <c r="G29" s="62"/>
    </row>
    <row r="30" spans="1:13" ht="20.25" x14ac:dyDescent="0.25">
      <c r="A30" s="80"/>
      <c r="B30" s="81">
        <v>10</v>
      </c>
      <c r="C30" s="72"/>
      <c r="D30" s="61"/>
      <c r="E30" s="61"/>
      <c r="F30" s="61"/>
      <c r="G30" s="62"/>
    </row>
    <row r="31" spans="1:13" ht="20.25" x14ac:dyDescent="0.25">
      <c r="A31" s="80"/>
      <c r="B31" s="81">
        <v>11</v>
      </c>
      <c r="C31" s="72"/>
      <c r="D31" s="61"/>
      <c r="E31" s="61"/>
      <c r="F31" s="61"/>
      <c r="G31" s="62"/>
      <c r="H31" s="84"/>
      <c r="I31" s="84"/>
      <c r="J31" s="84"/>
      <c r="K31" s="84"/>
      <c r="L31" s="84"/>
      <c r="M31" s="84"/>
    </row>
    <row r="32" spans="1:13" ht="20.25" x14ac:dyDescent="0.25">
      <c r="A32" s="80"/>
      <c r="B32" s="83">
        <v>12</v>
      </c>
      <c r="C32" s="72"/>
      <c r="D32" s="61"/>
      <c r="E32" s="61"/>
      <c r="F32" s="61"/>
      <c r="G32" s="62"/>
      <c r="H32" s="84"/>
      <c r="I32" s="84"/>
      <c r="J32" s="84"/>
      <c r="K32" s="84"/>
      <c r="L32" s="84"/>
      <c r="M32" s="84"/>
    </row>
    <row r="33" spans="1:13" ht="20.25" x14ac:dyDescent="0.25">
      <c r="A33" s="80"/>
      <c r="B33" s="81">
        <v>13</v>
      </c>
      <c r="C33" s="72"/>
      <c r="D33" s="61"/>
      <c r="E33" s="61"/>
      <c r="F33" s="61"/>
      <c r="G33" s="62"/>
      <c r="H33" s="84"/>
      <c r="I33" s="84"/>
      <c r="J33" s="84"/>
      <c r="K33" s="84"/>
      <c r="L33" s="84"/>
      <c r="M33" s="84"/>
    </row>
    <row r="34" spans="1:13" ht="20.25" x14ac:dyDescent="0.25">
      <c r="A34" s="80"/>
      <c r="B34" s="81">
        <v>14</v>
      </c>
      <c r="C34" s="73"/>
      <c r="D34" s="61"/>
      <c r="E34" s="61"/>
      <c r="F34" s="61"/>
      <c r="G34" s="62"/>
      <c r="H34" s="84"/>
      <c r="I34" s="84"/>
      <c r="J34" s="84"/>
      <c r="K34" s="84"/>
      <c r="L34" s="84"/>
      <c r="M34" s="84"/>
    </row>
    <row r="35" spans="1:13" ht="20.25" x14ac:dyDescent="0.25">
      <c r="A35" s="80"/>
      <c r="B35" s="83">
        <v>15</v>
      </c>
      <c r="C35" s="73"/>
      <c r="D35" s="61"/>
      <c r="E35" s="61"/>
      <c r="F35" s="61"/>
      <c r="G35" s="62"/>
      <c r="H35" s="84"/>
      <c r="I35" s="84"/>
      <c r="J35" s="84"/>
      <c r="K35" s="84"/>
      <c r="L35" s="84"/>
      <c r="M35" s="84"/>
    </row>
    <row r="36" spans="1:13" ht="20.25" x14ac:dyDescent="0.25">
      <c r="A36" s="80"/>
      <c r="B36" s="81">
        <v>16</v>
      </c>
      <c r="C36" s="72"/>
      <c r="D36" s="61"/>
      <c r="E36" s="61"/>
      <c r="F36" s="61"/>
      <c r="G36" s="62"/>
      <c r="H36" s="84"/>
      <c r="I36" s="84"/>
      <c r="J36" s="84"/>
      <c r="K36" s="84"/>
      <c r="L36" s="84"/>
      <c r="M36" s="84"/>
    </row>
    <row r="37" spans="1:13" ht="20.25" x14ac:dyDescent="0.25">
      <c r="A37" s="80"/>
      <c r="B37" s="81">
        <v>17</v>
      </c>
      <c r="C37" s="72"/>
      <c r="D37" s="61"/>
      <c r="E37" s="61"/>
      <c r="F37" s="61"/>
      <c r="G37" s="62"/>
      <c r="H37" s="84"/>
      <c r="I37" s="84"/>
      <c r="J37" s="84"/>
      <c r="K37" s="84"/>
      <c r="L37" s="84"/>
      <c r="M37" s="84"/>
    </row>
    <row r="38" spans="1:13" ht="20.25" x14ac:dyDescent="0.25">
      <c r="A38" s="80"/>
      <c r="B38" s="83">
        <v>18</v>
      </c>
      <c r="C38" s="72"/>
      <c r="D38" s="61"/>
      <c r="E38" s="61"/>
      <c r="F38" s="61"/>
      <c r="G38" s="62"/>
      <c r="H38" s="84"/>
      <c r="I38" s="84"/>
      <c r="J38" s="84"/>
      <c r="K38" s="84"/>
      <c r="L38" s="84"/>
      <c r="M38" s="84"/>
    </row>
    <row r="39" spans="1:13" ht="20.25" x14ac:dyDescent="0.25">
      <c r="A39" s="80"/>
      <c r="B39" s="81">
        <v>19</v>
      </c>
      <c r="C39" s="72"/>
      <c r="D39" s="61"/>
      <c r="E39" s="61"/>
      <c r="F39" s="61"/>
      <c r="G39" s="62"/>
      <c r="H39" s="84"/>
      <c r="I39" s="84"/>
      <c r="J39" s="84"/>
      <c r="K39" s="84"/>
      <c r="L39" s="84"/>
      <c r="M39" s="84"/>
    </row>
    <row r="40" spans="1:13" ht="20.25" x14ac:dyDescent="0.25">
      <c r="A40" s="80"/>
      <c r="B40" s="81">
        <v>20</v>
      </c>
      <c r="C40" s="73"/>
      <c r="D40" s="61"/>
      <c r="E40" s="61"/>
      <c r="F40" s="61"/>
      <c r="G40" s="62"/>
      <c r="H40" s="84"/>
      <c r="I40" s="84"/>
      <c r="J40" s="84"/>
      <c r="K40" s="84"/>
      <c r="L40" s="84"/>
      <c r="M40" s="84"/>
    </row>
    <row r="41" spans="1:13" ht="20.25" x14ac:dyDescent="0.25">
      <c r="A41" s="80"/>
      <c r="B41" s="83">
        <v>21</v>
      </c>
      <c r="C41" s="73"/>
      <c r="D41" s="61"/>
      <c r="E41" s="61"/>
      <c r="F41" s="61"/>
      <c r="G41" s="62"/>
      <c r="H41" s="84"/>
      <c r="I41" s="84"/>
      <c r="J41" s="84"/>
      <c r="K41" s="84"/>
      <c r="L41" s="84"/>
      <c r="M41" s="84"/>
    </row>
    <row r="42" spans="1:13" ht="20.25" x14ac:dyDescent="0.25">
      <c r="A42" s="80"/>
      <c r="B42" s="81">
        <v>22</v>
      </c>
      <c r="C42" s="72"/>
      <c r="D42" s="61"/>
      <c r="E42" s="61"/>
      <c r="F42" s="61"/>
      <c r="G42" s="62"/>
      <c r="H42" s="84"/>
      <c r="I42" s="84"/>
      <c r="J42" s="84"/>
      <c r="K42" s="84"/>
      <c r="L42" s="84"/>
      <c r="M42" s="84"/>
    </row>
    <row r="43" spans="1:13" ht="20.25" x14ac:dyDescent="0.25">
      <c r="A43" s="80"/>
      <c r="B43" s="81">
        <v>23</v>
      </c>
      <c r="C43" s="72"/>
      <c r="D43" s="61"/>
      <c r="E43" s="61"/>
      <c r="F43" s="61"/>
      <c r="G43" s="62"/>
      <c r="H43" s="84"/>
      <c r="I43" s="84"/>
      <c r="J43" s="84"/>
      <c r="K43" s="84"/>
      <c r="L43" s="84"/>
      <c r="M43" s="84"/>
    </row>
    <row r="44" spans="1:13" ht="20.25" x14ac:dyDescent="0.25">
      <c r="A44" s="80"/>
      <c r="B44" s="83">
        <v>24</v>
      </c>
      <c r="C44" s="72"/>
      <c r="D44" s="61"/>
      <c r="E44" s="61"/>
      <c r="F44" s="61"/>
      <c r="G44" s="62"/>
      <c r="H44" s="84"/>
      <c r="I44" s="84"/>
      <c r="J44" s="84"/>
      <c r="K44" s="84"/>
      <c r="L44" s="84"/>
      <c r="M44" s="84"/>
    </row>
    <row r="45" spans="1:13" ht="21" thickBot="1" x14ac:dyDescent="0.3">
      <c r="A45" s="80"/>
      <c r="B45" s="85">
        <v>25</v>
      </c>
      <c r="C45" s="86"/>
      <c r="D45" s="61"/>
      <c r="E45" s="61"/>
      <c r="F45" s="61"/>
      <c r="G45" s="62"/>
      <c r="H45" s="84"/>
      <c r="I45" s="84"/>
      <c r="J45" s="84"/>
      <c r="K45" s="84"/>
      <c r="L45" s="84"/>
      <c r="M45" s="84"/>
    </row>
    <row r="46" spans="1:13" x14ac:dyDescent="0.25">
      <c r="A46" s="80"/>
      <c r="B46" s="57"/>
      <c r="C46" s="61"/>
      <c r="D46" s="61"/>
      <c r="E46" s="61"/>
      <c r="F46" s="61"/>
      <c r="G46" s="62"/>
      <c r="H46" s="84"/>
      <c r="I46" s="84"/>
      <c r="J46" s="84"/>
      <c r="K46" s="84"/>
      <c r="L46" s="84"/>
      <c r="M46" s="84"/>
    </row>
    <row r="47" spans="1:13" x14ac:dyDescent="0.25">
      <c r="A47" s="80"/>
      <c r="B47" s="61"/>
      <c r="C47" s="61"/>
      <c r="D47" s="61"/>
      <c r="E47" s="61"/>
      <c r="F47" s="61"/>
      <c r="G47" s="62"/>
      <c r="H47" s="84"/>
      <c r="I47" s="84"/>
      <c r="J47" s="84"/>
      <c r="K47" s="84"/>
      <c r="L47" s="84"/>
      <c r="M47" s="84"/>
    </row>
    <row r="48" spans="1:13" x14ac:dyDescent="0.25">
      <c r="A48" s="80"/>
      <c r="B48" s="61"/>
      <c r="C48" s="61"/>
      <c r="D48" s="61"/>
      <c r="E48" s="61"/>
      <c r="F48" s="61"/>
      <c r="G48" s="62"/>
      <c r="H48" s="84"/>
      <c r="I48" s="84"/>
      <c r="J48" s="84"/>
      <c r="K48" s="84"/>
      <c r="L48" s="84"/>
      <c r="M48" s="84"/>
    </row>
    <row r="49" spans="1:13" x14ac:dyDescent="0.25">
      <c r="A49" s="80"/>
      <c r="B49" s="61"/>
      <c r="C49" s="61"/>
      <c r="D49" s="61"/>
      <c r="E49" s="61"/>
      <c r="F49" s="61"/>
      <c r="G49" s="62"/>
      <c r="H49" s="84"/>
      <c r="I49" s="84"/>
      <c r="J49" s="84"/>
      <c r="K49" s="84"/>
      <c r="L49" s="84"/>
      <c r="M49" s="84"/>
    </row>
    <row r="50" spans="1:13" x14ac:dyDescent="0.25">
      <c r="A50" s="80"/>
      <c r="B50" s="61"/>
      <c r="C50" s="61"/>
      <c r="D50" s="61"/>
      <c r="E50" s="61"/>
      <c r="F50" s="61"/>
      <c r="G50" s="62"/>
      <c r="H50" s="84"/>
      <c r="I50" s="84"/>
      <c r="J50" s="84"/>
      <c r="K50" s="84"/>
      <c r="L50" s="84"/>
      <c r="M50" s="84"/>
    </row>
    <row r="51" spans="1:13" x14ac:dyDescent="0.25">
      <c r="A51" s="80"/>
      <c r="B51" s="61"/>
      <c r="C51" s="61"/>
      <c r="D51" s="61"/>
      <c r="E51" s="61"/>
      <c r="F51" s="61"/>
      <c r="G51" s="62"/>
      <c r="H51" s="84"/>
      <c r="I51" s="84"/>
      <c r="J51" s="84"/>
      <c r="K51" s="84"/>
      <c r="L51" s="84"/>
      <c r="M51" s="84"/>
    </row>
    <row r="52" spans="1:13" x14ac:dyDescent="0.25">
      <c r="A52" s="80"/>
      <c r="B52" s="61"/>
      <c r="C52" s="61"/>
      <c r="D52" s="61"/>
      <c r="E52" s="61"/>
      <c r="F52" s="61"/>
      <c r="G52" s="62"/>
      <c r="H52" s="84"/>
      <c r="I52" s="84"/>
      <c r="J52" s="84"/>
      <c r="K52" s="84"/>
      <c r="L52" s="84"/>
      <c r="M52" s="84"/>
    </row>
    <row r="53" spans="1:13" x14ac:dyDescent="0.25">
      <c r="A53" s="80"/>
      <c r="B53" s="61"/>
      <c r="C53" s="61"/>
      <c r="D53" s="61"/>
      <c r="E53" s="61"/>
      <c r="F53" s="61"/>
      <c r="G53" s="62"/>
      <c r="H53" s="84"/>
      <c r="I53" s="84"/>
      <c r="J53" s="84"/>
      <c r="K53" s="84"/>
      <c r="L53" s="84"/>
      <c r="M53" s="84"/>
    </row>
    <row r="54" spans="1:13" ht="14.25" thickBot="1" x14ac:dyDescent="0.3">
      <c r="A54" s="87"/>
      <c r="B54" s="77"/>
      <c r="C54" s="77"/>
      <c r="D54" s="77"/>
      <c r="E54" s="77"/>
      <c r="F54" s="77"/>
      <c r="G54" s="78"/>
      <c r="H54" s="84"/>
      <c r="I54" s="84"/>
      <c r="J54" s="84"/>
      <c r="K54" s="84"/>
      <c r="L54" s="84"/>
      <c r="M54" s="84"/>
    </row>
    <row r="55" spans="1:13" x14ac:dyDescent="0.25">
      <c r="A55" s="84"/>
      <c r="B55" s="84"/>
      <c r="C55" s="84"/>
      <c r="D55" s="84"/>
      <c r="E55" s="84"/>
      <c r="F55" s="84"/>
      <c r="G55" s="84"/>
      <c r="H55" s="84"/>
      <c r="I55" s="84"/>
      <c r="J55" s="84"/>
      <c r="K55" s="84"/>
      <c r="L55" s="84"/>
      <c r="M55" s="84"/>
    </row>
    <row r="56" spans="1:13" x14ac:dyDescent="0.25">
      <c r="A56" s="84"/>
      <c r="B56" s="84"/>
      <c r="C56" s="84"/>
      <c r="D56" s="84"/>
      <c r="E56" s="84"/>
      <c r="F56" s="84"/>
      <c r="G56" s="84"/>
      <c r="H56" s="84"/>
      <c r="I56" s="84"/>
      <c r="J56" s="84"/>
      <c r="K56" s="84"/>
      <c r="L56" s="84"/>
      <c r="M56" s="84"/>
    </row>
    <row r="57" spans="1:13" x14ac:dyDescent="0.25">
      <c r="A57" s="84"/>
      <c r="B57" s="84"/>
      <c r="C57" s="84"/>
      <c r="D57" s="84"/>
      <c r="E57" s="84"/>
      <c r="F57" s="84"/>
      <c r="G57" s="84"/>
      <c r="H57" s="84"/>
      <c r="I57" s="84"/>
      <c r="J57" s="84"/>
      <c r="K57" s="84"/>
      <c r="L57" s="84"/>
      <c r="M57" s="84"/>
    </row>
    <row r="58" spans="1:13" x14ac:dyDescent="0.25">
      <c r="A58" s="84"/>
      <c r="B58" s="84"/>
      <c r="C58" s="84"/>
      <c r="D58" s="84"/>
      <c r="E58" s="84"/>
      <c r="F58" s="84"/>
      <c r="G58" s="84"/>
      <c r="H58" s="84"/>
      <c r="I58" s="84"/>
      <c r="J58" s="84"/>
      <c r="K58" s="84"/>
      <c r="L58" s="84"/>
      <c r="M58" s="84"/>
    </row>
    <row r="59" spans="1:13" x14ac:dyDescent="0.25">
      <c r="A59" s="84"/>
      <c r="B59" s="84"/>
      <c r="C59" s="84"/>
      <c r="D59" s="84"/>
      <c r="E59" s="84"/>
      <c r="F59" s="84"/>
      <c r="G59" s="84"/>
      <c r="H59" s="84"/>
      <c r="I59" s="84"/>
      <c r="J59" s="84"/>
      <c r="K59" s="84"/>
      <c r="L59" s="84"/>
      <c r="M59" s="84"/>
    </row>
    <row r="60" spans="1:13" x14ac:dyDescent="0.25">
      <c r="A60" s="84"/>
      <c r="B60" s="84"/>
      <c r="C60" s="84"/>
      <c r="D60" s="84"/>
      <c r="E60" s="84"/>
      <c r="F60" s="84"/>
      <c r="G60" s="84"/>
      <c r="H60" s="84"/>
      <c r="I60" s="84"/>
      <c r="J60" s="84"/>
      <c r="K60" s="84"/>
      <c r="L60" s="84"/>
      <c r="M60" s="84"/>
    </row>
    <row r="61" spans="1:13" x14ac:dyDescent="0.25">
      <c r="A61" s="84"/>
      <c r="B61" s="84"/>
      <c r="C61" s="84"/>
      <c r="D61" s="84"/>
      <c r="E61" s="84"/>
      <c r="F61" s="84"/>
      <c r="G61" s="84"/>
      <c r="H61" s="84"/>
      <c r="I61" s="84"/>
      <c r="J61" s="84"/>
      <c r="K61" s="84"/>
      <c r="L61" s="84"/>
      <c r="M61" s="84"/>
    </row>
    <row r="62" spans="1:13" x14ac:dyDescent="0.25">
      <c r="A62" s="84"/>
      <c r="B62" s="84"/>
      <c r="C62" s="84"/>
      <c r="D62" s="84"/>
      <c r="E62" s="84"/>
      <c r="F62" s="84"/>
      <c r="G62" s="84"/>
      <c r="H62" s="84"/>
      <c r="I62" s="84"/>
      <c r="J62" s="84"/>
      <c r="K62" s="84"/>
      <c r="L62" s="84"/>
      <c r="M62" s="84"/>
    </row>
    <row r="63" spans="1:13" x14ac:dyDescent="0.25">
      <c r="A63" s="84"/>
      <c r="B63" s="84"/>
      <c r="C63" s="84"/>
      <c r="D63" s="84"/>
      <c r="E63" s="84"/>
      <c r="F63" s="84"/>
      <c r="G63" s="84"/>
      <c r="H63" s="84"/>
      <c r="I63" s="84"/>
      <c r="J63" s="84"/>
      <c r="K63" s="84"/>
      <c r="L63" s="84"/>
      <c r="M63" s="84"/>
    </row>
    <row r="64" spans="1:13" x14ac:dyDescent="0.25">
      <c r="A64" s="84"/>
      <c r="B64" s="84"/>
      <c r="C64" s="84"/>
      <c r="D64" s="84"/>
      <c r="E64" s="84"/>
      <c r="F64" s="84"/>
      <c r="G64" s="84"/>
      <c r="H64" s="84"/>
      <c r="I64" s="84"/>
      <c r="J64" s="84"/>
      <c r="K64" s="84"/>
      <c r="L64" s="84"/>
      <c r="M64" s="84"/>
    </row>
    <row r="65" spans="1:13" x14ac:dyDescent="0.25">
      <c r="A65" s="84"/>
      <c r="B65" s="84"/>
      <c r="C65" s="84"/>
      <c r="D65" s="84"/>
      <c r="E65" s="84"/>
      <c r="F65" s="84"/>
      <c r="G65" s="84"/>
      <c r="H65" s="84"/>
      <c r="I65" s="84"/>
      <c r="J65" s="84"/>
      <c r="K65" s="84"/>
      <c r="L65" s="84"/>
      <c r="M65" s="84"/>
    </row>
    <row r="66" spans="1:13" x14ac:dyDescent="0.25">
      <c r="A66" s="84"/>
      <c r="B66" s="84"/>
      <c r="C66" s="84"/>
      <c r="D66" s="84"/>
      <c r="E66" s="84"/>
      <c r="F66" s="84"/>
      <c r="G66" s="84"/>
      <c r="H66" s="84"/>
      <c r="I66" s="84"/>
      <c r="J66" s="84"/>
      <c r="K66" s="84"/>
      <c r="L66" s="84"/>
      <c r="M66" s="84"/>
    </row>
    <row r="67" spans="1:13" x14ac:dyDescent="0.25">
      <c r="A67" s="84"/>
      <c r="B67" s="84"/>
      <c r="C67" s="84"/>
      <c r="D67" s="84"/>
      <c r="E67" s="84"/>
      <c r="F67" s="84"/>
      <c r="G67" s="84"/>
      <c r="H67" s="84"/>
      <c r="I67" s="84"/>
      <c r="J67" s="84"/>
      <c r="K67" s="84"/>
      <c r="L67" s="84"/>
      <c r="M67" s="84"/>
    </row>
    <row r="68" spans="1:13" x14ac:dyDescent="0.25">
      <c r="A68" s="84"/>
      <c r="B68" s="84"/>
      <c r="C68" s="84"/>
      <c r="D68" s="84"/>
      <c r="E68" s="84"/>
      <c r="F68" s="84"/>
      <c r="G68" s="84"/>
      <c r="H68" s="84"/>
      <c r="I68" s="84"/>
      <c r="J68" s="84"/>
      <c r="K68" s="84"/>
      <c r="L68" s="84"/>
      <c r="M68" s="84"/>
    </row>
    <row r="69" spans="1:13" x14ac:dyDescent="0.25">
      <c r="A69" s="84"/>
      <c r="B69" s="84"/>
      <c r="C69" s="84"/>
      <c r="D69" s="84"/>
      <c r="E69" s="84"/>
      <c r="F69" s="84"/>
      <c r="G69" s="84"/>
      <c r="H69" s="84"/>
      <c r="I69" s="84"/>
      <c r="J69" s="84"/>
      <c r="K69" s="84"/>
      <c r="L69" s="84"/>
      <c r="M69" s="84"/>
    </row>
    <row r="70" spans="1:13" x14ac:dyDescent="0.25">
      <c r="A70" s="84"/>
      <c r="B70" s="84"/>
      <c r="C70" s="84"/>
      <c r="D70" s="84"/>
      <c r="E70" s="84"/>
      <c r="F70" s="84"/>
      <c r="G70" s="84"/>
      <c r="H70" s="84"/>
      <c r="I70" s="84"/>
      <c r="J70" s="84"/>
      <c r="K70" s="84"/>
      <c r="L70" s="84"/>
      <c r="M70" s="84"/>
    </row>
    <row r="71" spans="1:13" x14ac:dyDescent="0.25">
      <c r="A71" s="84"/>
      <c r="B71" s="84"/>
      <c r="C71" s="84"/>
      <c r="D71" s="84"/>
      <c r="E71" s="84"/>
      <c r="F71" s="84"/>
      <c r="G71" s="84"/>
      <c r="H71" s="84"/>
      <c r="I71" s="84"/>
      <c r="J71" s="84"/>
      <c r="K71" s="84"/>
      <c r="L71" s="84"/>
      <c r="M71" s="84"/>
    </row>
    <row r="72" spans="1:13" x14ac:dyDescent="0.25">
      <c r="A72" s="84"/>
      <c r="B72" s="84"/>
      <c r="C72" s="84"/>
      <c r="D72" s="84"/>
      <c r="E72" s="84"/>
      <c r="F72" s="84"/>
      <c r="G72" s="84"/>
      <c r="H72" s="84"/>
      <c r="I72" s="84"/>
      <c r="J72" s="84"/>
      <c r="K72" s="84"/>
      <c r="L72" s="84"/>
      <c r="M72" s="84"/>
    </row>
    <row r="73" spans="1:13" x14ac:dyDescent="0.25">
      <c r="A73" s="84"/>
      <c r="B73" s="84"/>
      <c r="C73" s="84"/>
      <c r="D73" s="84"/>
      <c r="E73" s="84"/>
      <c r="F73" s="84"/>
      <c r="G73" s="84"/>
      <c r="H73" s="84"/>
      <c r="I73" s="84"/>
      <c r="J73" s="84"/>
      <c r="K73" s="84"/>
      <c r="L73" s="84"/>
      <c r="M73" s="84"/>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5"/>
  <cols>
    <col min="1" max="1" width="17.85546875" style="30" customWidth="1"/>
    <col min="2" max="2" width="51.28515625" style="30" customWidth="1"/>
    <col min="3" max="3" width="19.42578125" style="30" customWidth="1"/>
    <col min="4" max="16384" width="1.5703125" style="30"/>
  </cols>
  <sheetData>
    <row r="1" spans="1:4" ht="14.25" thickBot="1" x14ac:dyDescent="0.3">
      <c r="B1" s="22"/>
      <c r="C1" s="22"/>
    </row>
    <row r="2" spans="1:4" ht="42.75" customHeight="1" thickBot="1" x14ac:dyDescent="0.3">
      <c r="A2" s="20"/>
      <c r="B2" s="24" t="s">
        <v>5</v>
      </c>
      <c r="C2" s="15" t="s">
        <v>18</v>
      </c>
    </row>
    <row r="3" spans="1:4" ht="19.5" customHeight="1" x14ac:dyDescent="0.25">
      <c r="A3" s="20"/>
      <c r="B3" s="96" t="s">
        <v>21</v>
      </c>
      <c r="C3" s="16">
        <v>0</v>
      </c>
    </row>
    <row r="4" spans="1:4" ht="19.5" customHeight="1" x14ac:dyDescent="0.25">
      <c r="A4" s="20"/>
      <c r="B4" s="97"/>
      <c r="C4" s="23">
        <v>0</v>
      </c>
      <c r="D4" s="31"/>
    </row>
    <row r="5" spans="1:4" ht="19.5" customHeight="1" x14ac:dyDescent="0.25">
      <c r="B5" s="21"/>
      <c r="C5" s="21"/>
    </row>
    <row r="14" spans="1:4" ht="19.5" customHeight="1" x14ac:dyDescent="0.25">
      <c r="C14" s="21"/>
    </row>
    <row r="15" spans="1:4" ht="19.5" customHeight="1" x14ac:dyDescent="0.25">
      <c r="C15" s="21"/>
    </row>
    <row r="16" spans="1:4" ht="19.5" customHeight="1" x14ac:dyDescent="0.25">
      <c r="A16" s="43"/>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6" t="s">
        <v>16</v>
      </c>
      <c r="C3" s="28">
        <v>0</v>
      </c>
    </row>
    <row r="4" spans="2:3" ht="18.75" thickBot="1" x14ac:dyDescent="0.3">
      <c r="B4" s="27" t="s">
        <v>17</v>
      </c>
      <c r="C4" s="29">
        <v>0</v>
      </c>
    </row>
    <row r="39" spans="5:5" x14ac:dyDescent="0.25">
      <c r="E39" s="25"/>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6" t="s">
        <v>14</v>
      </c>
      <c r="B1" s="7">
        <v>1</v>
      </c>
      <c r="C1" s="17"/>
      <c r="D1" s="19"/>
    </row>
    <row r="2" spans="1:4" ht="27.75" thickBot="1" x14ac:dyDescent="0.3">
      <c r="A2" s="8" t="s">
        <v>3</v>
      </c>
      <c r="B2" s="18" t="s">
        <v>15</v>
      </c>
      <c r="C2" s="8" t="s">
        <v>7</v>
      </c>
      <c r="D2" s="8"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2"/>
      <c r="B9" s="2"/>
      <c r="C9" s="10"/>
      <c r="D9" s="10"/>
    </row>
    <row r="10" spans="1:4" s="54" customFormat="1" x14ac:dyDescent="0.25">
      <c r="A10" s="2"/>
      <c r="B10" s="2"/>
      <c r="C10" s="10"/>
      <c r="D10" s="10"/>
    </row>
    <row r="11" spans="1:4" s="54" customFormat="1" x14ac:dyDescent="0.25">
      <c r="A11" s="2"/>
      <c r="B11" s="2"/>
      <c r="C11" s="10"/>
      <c r="D11" s="10"/>
    </row>
    <row r="12" spans="1:4" s="54"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1"/>
      <c r="B18" s="21"/>
      <c r="C18" s="21"/>
      <c r="D18" s="21"/>
    </row>
    <row r="19" spans="1:9" x14ac:dyDescent="0.25">
      <c r="A19" s="21"/>
      <c r="B19" s="21"/>
      <c r="C19" s="21"/>
      <c r="D19" s="21"/>
      <c r="E19" s="21"/>
      <c r="F19" s="21"/>
      <c r="G19" s="21"/>
      <c r="H19" s="21"/>
      <c r="I19" s="21"/>
    </row>
    <row r="20" spans="1:9" ht="12.75" customHeight="1" x14ac:dyDescent="0.25">
      <c r="A20" s="32"/>
      <c r="B20" s="33"/>
      <c r="C20" s="34"/>
      <c r="D20" s="35"/>
      <c r="E20" s="21"/>
      <c r="F20" s="33"/>
      <c r="G20" s="34"/>
      <c r="H20" s="35"/>
      <c r="I20" s="21"/>
    </row>
    <row r="21" spans="1:9" ht="15" x14ac:dyDescent="0.25">
      <c r="A21" s="32"/>
      <c r="B21" s="36"/>
      <c r="C21" s="32"/>
      <c r="D21" s="32"/>
      <c r="E21" s="21"/>
      <c r="F21" s="36"/>
      <c r="G21" s="32"/>
      <c r="H21" s="32"/>
      <c r="I21" s="21"/>
    </row>
    <row r="22" spans="1:9" x14ac:dyDescent="0.25">
      <c r="A22" s="37"/>
      <c r="B22" s="38"/>
      <c r="C22" s="39"/>
      <c r="D22" s="39"/>
      <c r="E22" s="21"/>
      <c r="F22" s="38"/>
      <c r="G22" s="39"/>
      <c r="H22" s="39"/>
      <c r="I22" s="21"/>
    </row>
    <row r="23" spans="1:9" x14ac:dyDescent="0.25">
      <c r="A23" s="37"/>
      <c r="B23" s="38"/>
      <c r="C23" s="39"/>
      <c r="D23" s="39"/>
      <c r="E23" s="21"/>
      <c r="F23" s="38"/>
      <c r="G23" s="39"/>
      <c r="H23" s="39"/>
      <c r="I23" s="21"/>
    </row>
    <row r="24" spans="1:9" x14ac:dyDescent="0.25">
      <c r="A24" s="37"/>
      <c r="B24" s="38"/>
      <c r="C24" s="39"/>
      <c r="D24" s="39"/>
      <c r="E24" s="21"/>
      <c r="F24" s="38"/>
      <c r="G24" s="39"/>
      <c r="H24" s="39"/>
      <c r="I24" s="21"/>
    </row>
    <row r="25" spans="1:9" x14ac:dyDescent="0.25">
      <c r="A25" s="37"/>
      <c r="B25" s="38"/>
      <c r="C25" s="39"/>
      <c r="D25" s="39"/>
      <c r="E25" s="21"/>
      <c r="F25" s="38"/>
      <c r="G25" s="39"/>
      <c r="H25" s="39"/>
      <c r="I25" s="21"/>
    </row>
    <row r="26" spans="1:9" x14ac:dyDescent="0.25">
      <c r="A26" s="38"/>
      <c r="B26" s="38"/>
      <c r="C26" s="39"/>
      <c r="D26" s="39"/>
      <c r="E26" s="21"/>
      <c r="F26" s="38"/>
      <c r="G26" s="39"/>
      <c r="H26" s="39"/>
      <c r="I26" s="21"/>
    </row>
    <row r="27" spans="1:9" x14ac:dyDescent="0.25">
      <c r="A27" s="38"/>
      <c r="B27" s="38"/>
      <c r="C27" s="39"/>
      <c r="D27" s="39"/>
      <c r="E27" s="21"/>
      <c r="F27" s="38"/>
      <c r="G27" s="39"/>
      <c r="H27" s="39"/>
      <c r="I27" s="21"/>
    </row>
    <row r="28" spans="1:9" x14ac:dyDescent="0.25">
      <c r="A28" s="38"/>
      <c r="B28" s="38"/>
      <c r="C28" s="39"/>
      <c r="D28" s="39"/>
      <c r="E28" s="21"/>
      <c r="F28" s="38"/>
      <c r="G28" s="39"/>
      <c r="H28" s="39"/>
      <c r="I28" s="21"/>
    </row>
    <row r="29" spans="1:9" x14ac:dyDescent="0.25">
      <c r="A29" s="38"/>
      <c r="B29" s="38"/>
      <c r="C29" s="39"/>
      <c r="D29" s="39"/>
      <c r="E29" s="21"/>
      <c r="F29" s="38"/>
      <c r="G29" s="39"/>
      <c r="H29" s="39"/>
      <c r="I29" s="21"/>
    </row>
    <row r="30" spans="1:9" x14ac:dyDescent="0.25">
      <c r="A30" s="40"/>
      <c r="B30" s="40"/>
      <c r="C30" s="41"/>
      <c r="D30" s="41"/>
      <c r="E30" s="21"/>
      <c r="F30" s="40"/>
      <c r="G30" s="41"/>
      <c r="H30" s="41"/>
      <c r="I30" s="21"/>
    </row>
    <row r="31" spans="1:9" ht="14.25" x14ac:dyDescent="0.3">
      <c r="A31" s="42"/>
      <c r="B31" s="42"/>
      <c r="C31" s="42"/>
      <c r="D31" s="42"/>
      <c r="E31" s="21"/>
      <c r="F31" s="42"/>
      <c r="G31" s="42"/>
      <c r="H31" s="42"/>
      <c r="I31" s="21"/>
    </row>
    <row r="32" spans="1:9" x14ac:dyDescent="0.25">
      <c r="A32" s="21"/>
      <c r="B32" s="21"/>
      <c r="C32" s="21"/>
      <c r="D32" s="21"/>
      <c r="E32" s="21"/>
      <c r="F32" s="21"/>
      <c r="G32" s="21"/>
      <c r="H32" s="21"/>
      <c r="I32" s="21"/>
    </row>
    <row r="33" spans="5:9" x14ac:dyDescent="0.25">
      <c r="E33" s="21"/>
      <c r="F33" s="21"/>
      <c r="G33" s="21"/>
      <c r="H33" s="21"/>
      <c r="I33" s="21"/>
    </row>
    <row r="34" spans="5:9" x14ac:dyDescent="0.25">
      <c r="E34" s="21"/>
      <c r="F34" s="21"/>
      <c r="G34" s="21"/>
      <c r="H34" s="21"/>
      <c r="I34" s="21"/>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election activeCell="C2" sqref="C2"/>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row>
    <row r="2" spans="1:4" ht="27.75" thickBot="1" x14ac:dyDescent="0.3">
      <c r="A2" s="47" t="s">
        <v>3</v>
      </c>
      <c r="B2" s="48" t="s">
        <v>15</v>
      </c>
      <c r="C2" s="47" t="s">
        <v>7</v>
      </c>
      <c r="D2" s="47" t="s">
        <v>13</v>
      </c>
    </row>
    <row r="3" spans="1:4" s="54" customFormat="1" x14ac:dyDescent="0.25">
      <c r="A3" s="5"/>
      <c r="B3" s="4"/>
      <c r="C3" s="9"/>
      <c r="D3" s="9"/>
    </row>
    <row r="4" spans="1:4" s="54" customFormat="1" x14ac:dyDescent="0.25">
      <c r="A4" s="1"/>
      <c r="B4" s="2"/>
      <c r="C4" s="10"/>
      <c r="D4" s="10"/>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0</v>
      </c>
      <c r="C18" s="50"/>
      <c r="D18" s="50"/>
    </row>
    <row r="19" spans="1:9" ht="14.25" x14ac:dyDescent="0.3">
      <c r="A19" s="51"/>
      <c r="B19" s="51"/>
      <c r="C19" s="51"/>
      <c r="D19" s="51"/>
    </row>
    <row r="23" spans="1:9" x14ac:dyDescent="0.25">
      <c r="A23" s="21"/>
      <c r="B23" s="21"/>
      <c r="C23" s="21"/>
      <c r="D23" s="21"/>
    </row>
    <row r="24" spans="1:9" x14ac:dyDescent="0.25">
      <c r="A24" s="21"/>
      <c r="B24" s="21"/>
      <c r="C24" s="21"/>
      <c r="D24" s="21"/>
      <c r="E24" s="21"/>
      <c r="F24" s="21"/>
      <c r="G24" s="21"/>
      <c r="H24" s="21"/>
      <c r="I24" s="21"/>
    </row>
    <row r="25" spans="1:9" ht="12.75" customHeight="1" x14ac:dyDescent="0.25">
      <c r="A25" s="32"/>
      <c r="B25" s="33"/>
      <c r="C25" s="34"/>
      <c r="D25" s="35"/>
      <c r="E25" s="21"/>
      <c r="F25" s="33"/>
      <c r="G25" s="34"/>
      <c r="H25" s="35"/>
      <c r="I25" s="21"/>
    </row>
    <row r="26" spans="1:9" ht="15" x14ac:dyDescent="0.25">
      <c r="A26" s="32"/>
      <c r="B26" s="36"/>
      <c r="C26" s="32"/>
      <c r="D26" s="32"/>
      <c r="E26" s="21"/>
      <c r="F26" s="36"/>
      <c r="G26" s="32"/>
      <c r="H26" s="32"/>
      <c r="I26" s="21"/>
    </row>
    <row r="27" spans="1:9" x14ac:dyDescent="0.25">
      <c r="A27" s="37"/>
      <c r="B27" s="38"/>
      <c r="C27" s="39"/>
      <c r="D27" s="39"/>
      <c r="E27" s="21"/>
      <c r="F27" s="38"/>
      <c r="G27" s="39"/>
      <c r="H27" s="39"/>
      <c r="I27" s="21"/>
    </row>
    <row r="28" spans="1:9" x14ac:dyDescent="0.25">
      <c r="A28" s="37"/>
      <c r="B28" s="38"/>
      <c r="C28" s="39"/>
      <c r="D28" s="39"/>
      <c r="E28" s="21"/>
      <c r="F28" s="38"/>
      <c r="G28" s="39"/>
      <c r="H28" s="39"/>
      <c r="I28" s="21"/>
    </row>
    <row r="29" spans="1:9" x14ac:dyDescent="0.25">
      <c r="A29" s="37"/>
      <c r="B29" s="38"/>
      <c r="C29" s="39"/>
      <c r="D29" s="39"/>
      <c r="E29" s="21"/>
      <c r="F29" s="38"/>
      <c r="G29" s="39"/>
      <c r="H29" s="39"/>
      <c r="I29" s="21"/>
    </row>
    <row r="30" spans="1:9" x14ac:dyDescent="0.25">
      <c r="A30" s="37"/>
      <c r="B30" s="38"/>
      <c r="C30" s="39"/>
      <c r="D30" s="39"/>
      <c r="E30" s="21"/>
      <c r="F30" s="38"/>
      <c r="G30" s="39"/>
      <c r="H30" s="39"/>
      <c r="I30" s="21"/>
    </row>
    <row r="31" spans="1:9" x14ac:dyDescent="0.25">
      <c r="A31" s="38"/>
      <c r="B31" s="38"/>
      <c r="C31" s="39"/>
      <c r="D31" s="39"/>
      <c r="E31" s="21"/>
      <c r="F31" s="38"/>
      <c r="G31" s="39"/>
      <c r="H31" s="39"/>
      <c r="I31" s="21"/>
    </row>
    <row r="32" spans="1:9" x14ac:dyDescent="0.25">
      <c r="A32" s="38"/>
      <c r="B32" s="38"/>
      <c r="C32" s="39"/>
      <c r="D32" s="39"/>
      <c r="E32" s="21"/>
      <c r="F32" s="38"/>
      <c r="G32" s="39"/>
      <c r="H32" s="39"/>
      <c r="I32" s="21"/>
    </row>
    <row r="33" spans="1:9" x14ac:dyDescent="0.25">
      <c r="A33" s="38"/>
      <c r="B33" s="38"/>
      <c r="C33" s="39"/>
      <c r="D33" s="39"/>
      <c r="E33" s="21"/>
      <c r="F33" s="38"/>
      <c r="G33" s="39"/>
      <c r="H33" s="39"/>
      <c r="I33" s="21"/>
    </row>
    <row r="34" spans="1:9" x14ac:dyDescent="0.25">
      <c r="A34" s="38"/>
      <c r="B34" s="38"/>
      <c r="C34" s="39"/>
      <c r="D34" s="39"/>
      <c r="E34" s="21"/>
      <c r="F34" s="38"/>
      <c r="G34" s="39"/>
      <c r="H34" s="39"/>
      <c r="I34" s="21"/>
    </row>
    <row r="35" spans="1:9" x14ac:dyDescent="0.25">
      <c r="A35" s="40"/>
      <c r="B35" s="40"/>
      <c r="C35" s="41"/>
      <c r="D35" s="41"/>
      <c r="E35" s="21"/>
      <c r="F35" s="40"/>
      <c r="G35" s="41"/>
      <c r="H35" s="41"/>
      <c r="I35" s="21"/>
    </row>
    <row r="36" spans="1:9" ht="14.25" x14ac:dyDescent="0.3">
      <c r="A36" s="42"/>
      <c r="B36" s="42"/>
      <c r="C36" s="42"/>
      <c r="D36" s="42"/>
      <c r="E36" s="21"/>
      <c r="F36" s="42"/>
      <c r="G36" s="42"/>
      <c r="H36" s="42"/>
      <c r="I36" s="21"/>
    </row>
    <row r="37" spans="1:9" x14ac:dyDescent="0.25">
      <c r="A37" s="21"/>
      <c r="B37" s="21"/>
      <c r="C37" s="21"/>
      <c r="D37" s="21"/>
      <c r="E37" s="21"/>
      <c r="F37" s="21"/>
      <c r="G37" s="21"/>
      <c r="H37" s="21"/>
      <c r="I37" s="21"/>
    </row>
    <row r="38" spans="1:9" x14ac:dyDescent="0.25">
      <c r="E38" s="21"/>
      <c r="F38" s="21"/>
      <c r="G38" s="21"/>
      <c r="H38" s="21"/>
      <c r="I38" s="21"/>
    </row>
    <row r="39" spans="1:9" x14ac:dyDescent="0.25">
      <c r="E39" s="21"/>
      <c r="F39" s="21"/>
      <c r="G39" s="21"/>
      <c r="H39" s="21"/>
      <c r="I39" s="21"/>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dimension ref="A1:I324"/>
  <sheetViews>
    <sheetView tabSelected="1" topLeftCell="A49" workbookViewId="0">
      <selection activeCell="C64" sqref="C64"/>
    </sheetView>
  </sheetViews>
  <sheetFormatPr baseColWidth="10" defaultColWidth="11.42578125" defaultRowHeight="13.5" x14ac:dyDescent="0.25"/>
  <cols>
    <col min="1" max="1" width="21.42578125" style="30" customWidth="1"/>
    <col min="2" max="2" width="8.5703125" style="30" customWidth="1"/>
    <col min="3" max="3" width="87" style="30" customWidth="1"/>
    <col min="4" max="4" width="44.140625" style="30" customWidth="1"/>
    <col min="5" max="16384" width="11.42578125" style="30"/>
  </cols>
  <sheetData>
    <row r="1" spans="1:4" ht="18.75" thickBot="1" x14ac:dyDescent="0.3">
      <c r="A1" s="44" t="s">
        <v>14</v>
      </c>
      <c r="B1" s="45">
        <v>1</v>
      </c>
      <c r="C1" s="46" t="s">
        <v>23</v>
      </c>
      <c r="D1" s="55">
        <f>Donnees!$C$9</f>
        <v>43112</v>
      </c>
    </row>
    <row r="2" spans="1:4" ht="27.75" thickBot="1" x14ac:dyDescent="0.3">
      <c r="A2" s="47" t="s">
        <v>3</v>
      </c>
      <c r="B2" s="48" t="s">
        <v>15</v>
      </c>
      <c r="C2" s="47" t="s">
        <v>7</v>
      </c>
      <c r="D2" s="47" t="s">
        <v>13</v>
      </c>
    </row>
    <row r="3" spans="1:4" s="54" customFormat="1" ht="67.5" x14ac:dyDescent="0.25">
      <c r="A3" s="5" t="s">
        <v>31</v>
      </c>
      <c r="B3" s="4">
        <v>6</v>
      </c>
      <c r="C3" s="90" t="s">
        <v>32</v>
      </c>
      <c r="D3" s="91" t="s">
        <v>33</v>
      </c>
    </row>
    <row r="4" spans="1:4" s="54" customFormat="1" ht="54" x14ac:dyDescent="0.25">
      <c r="A4" s="1" t="s">
        <v>30</v>
      </c>
      <c r="B4" s="2">
        <v>6</v>
      </c>
      <c r="C4" s="92" t="s">
        <v>34</v>
      </c>
      <c r="D4" s="93" t="s">
        <v>36</v>
      </c>
    </row>
    <row r="5" spans="1:4" s="54" customFormat="1" x14ac:dyDescent="0.25">
      <c r="A5" s="1"/>
      <c r="B5" s="2"/>
      <c r="C5" s="10"/>
      <c r="D5" s="10"/>
    </row>
    <row r="6" spans="1:4" s="54" customFormat="1" x14ac:dyDescent="0.25">
      <c r="A6" s="1"/>
      <c r="B6" s="2"/>
      <c r="C6" s="10"/>
      <c r="D6" s="10"/>
    </row>
    <row r="7" spans="1:4" s="54" customFormat="1" x14ac:dyDescent="0.25">
      <c r="A7" s="1"/>
      <c r="B7" s="2"/>
      <c r="C7" s="10"/>
      <c r="D7" s="10"/>
    </row>
    <row r="8" spans="1:4" s="54" customFormat="1" x14ac:dyDescent="0.25">
      <c r="A8" s="1"/>
      <c r="B8" s="2"/>
      <c r="C8" s="10"/>
      <c r="D8" s="10"/>
    </row>
    <row r="9" spans="1:4" s="54" customFormat="1" x14ac:dyDescent="0.25">
      <c r="A9" s="1"/>
      <c r="B9" s="2"/>
      <c r="C9" s="10"/>
      <c r="D9" s="10"/>
    </row>
    <row r="10" spans="1:4" s="54" customFormat="1" x14ac:dyDescent="0.25">
      <c r="A10" s="1"/>
      <c r="B10" s="2"/>
      <c r="C10" s="10"/>
      <c r="D10" s="10"/>
    </row>
    <row r="11" spans="1:4" s="54" customFormat="1" x14ac:dyDescent="0.25">
      <c r="A11" s="1"/>
      <c r="B11" s="2"/>
      <c r="C11" s="10"/>
      <c r="D11" s="10"/>
    </row>
    <row r="12" spans="1:4" s="54" customFormat="1" x14ac:dyDescent="0.25">
      <c r="A12" s="2"/>
      <c r="B12" s="2"/>
      <c r="C12" s="10"/>
      <c r="D12" s="10"/>
    </row>
    <row r="13" spans="1:4" s="54" customFormat="1" x14ac:dyDescent="0.25">
      <c r="A13" s="2"/>
      <c r="B13" s="2"/>
      <c r="C13" s="10"/>
      <c r="D13" s="10"/>
    </row>
    <row r="14" spans="1:4" s="54" customFormat="1" x14ac:dyDescent="0.25">
      <c r="A14" s="2"/>
      <c r="B14" s="2"/>
      <c r="C14" s="10"/>
      <c r="D14" s="10"/>
    </row>
    <row r="15" spans="1:4" s="54" customFormat="1" x14ac:dyDescent="0.25">
      <c r="A15" s="52"/>
      <c r="B15" s="52"/>
      <c r="C15" s="53"/>
      <c r="D15" s="53"/>
    </row>
    <row r="16" spans="1:4" s="54" customFormat="1" x14ac:dyDescent="0.25">
      <c r="A16" s="52"/>
      <c r="B16" s="52"/>
      <c r="C16" s="53"/>
      <c r="D16" s="53"/>
    </row>
    <row r="17" spans="1:9" s="54" customFormat="1" ht="14.25" thickBot="1" x14ac:dyDescent="0.3">
      <c r="A17" s="3"/>
      <c r="B17" s="3"/>
      <c r="C17" s="11"/>
      <c r="D17" s="11"/>
    </row>
    <row r="18" spans="1:9" ht="14.25" thickBot="1" x14ac:dyDescent="0.3">
      <c r="A18" s="49" t="s">
        <v>22</v>
      </c>
      <c r="B18" s="49">
        <f>SUM(B3:B17)</f>
        <v>12</v>
      </c>
      <c r="C18" s="88" t="s">
        <v>28</v>
      </c>
      <c r="D18" s="50"/>
    </row>
    <row r="19" spans="1:9" ht="15" thickBot="1" x14ac:dyDescent="0.35">
      <c r="A19" s="51"/>
      <c r="B19" s="51"/>
      <c r="C19" s="51"/>
      <c r="D19" s="51"/>
    </row>
    <row r="20" spans="1:9" ht="18.75" thickBot="1" x14ac:dyDescent="0.3">
      <c r="A20" s="44" t="s">
        <v>14</v>
      </c>
      <c r="B20" s="45">
        <v>2</v>
      </c>
      <c r="C20" s="46" t="s">
        <v>23</v>
      </c>
      <c r="D20" s="55">
        <f>$D$1+7</f>
        <v>43119</v>
      </c>
    </row>
    <row r="21" spans="1:9" ht="27.75" thickBot="1" x14ac:dyDescent="0.3">
      <c r="A21" s="47" t="s">
        <v>3</v>
      </c>
      <c r="B21" s="48" t="s">
        <v>15</v>
      </c>
      <c r="C21" s="47" t="s">
        <v>7</v>
      </c>
      <c r="D21" s="47" t="s">
        <v>13</v>
      </c>
    </row>
    <row r="22" spans="1:9" ht="67.5" x14ac:dyDescent="0.25">
      <c r="A22" s="5" t="s">
        <v>30</v>
      </c>
      <c r="B22" s="4">
        <v>1</v>
      </c>
      <c r="C22" s="90" t="s">
        <v>38</v>
      </c>
      <c r="D22" s="91" t="s">
        <v>35</v>
      </c>
    </row>
    <row r="23" spans="1:9" x14ac:dyDescent="0.25">
      <c r="A23" s="1" t="s">
        <v>37</v>
      </c>
      <c r="B23" s="2">
        <v>1</v>
      </c>
      <c r="C23" s="92" t="s">
        <v>39</v>
      </c>
      <c r="D23" s="10"/>
    </row>
    <row r="24" spans="1:9" ht="54" x14ac:dyDescent="0.25">
      <c r="A24" s="1" t="s">
        <v>40</v>
      </c>
      <c r="B24" s="2">
        <v>4</v>
      </c>
      <c r="C24" s="92" t="s">
        <v>41</v>
      </c>
      <c r="D24" s="93" t="s">
        <v>42</v>
      </c>
      <c r="E24" s="21"/>
      <c r="F24" s="21"/>
      <c r="G24" s="21"/>
      <c r="H24" s="21"/>
      <c r="I24" s="21"/>
    </row>
    <row r="25" spans="1:9" ht="12.75" customHeight="1" x14ac:dyDescent="0.25">
      <c r="A25" s="1" t="s">
        <v>30</v>
      </c>
      <c r="B25" s="2">
        <v>1</v>
      </c>
      <c r="C25" s="92" t="s">
        <v>43</v>
      </c>
      <c r="D25" s="93" t="s">
        <v>44</v>
      </c>
      <c r="E25" s="21"/>
      <c r="F25" s="33"/>
      <c r="G25" s="34"/>
      <c r="H25" s="35"/>
      <c r="I25" s="21"/>
    </row>
    <row r="26" spans="1:9" ht="15" x14ac:dyDescent="0.25">
      <c r="A26" s="1" t="s">
        <v>21</v>
      </c>
      <c r="B26" s="2">
        <v>2</v>
      </c>
      <c r="C26" s="92" t="s">
        <v>45</v>
      </c>
      <c r="D26" s="10"/>
      <c r="E26" s="21"/>
      <c r="F26" s="36"/>
      <c r="G26" s="32"/>
      <c r="H26" s="32"/>
      <c r="I26" s="21"/>
    </row>
    <row r="27" spans="1:9" ht="40.5" x14ac:dyDescent="0.25">
      <c r="A27" s="1" t="s">
        <v>46</v>
      </c>
      <c r="B27" s="2">
        <v>3</v>
      </c>
      <c r="C27" s="92" t="s">
        <v>47</v>
      </c>
      <c r="D27" s="93" t="s">
        <v>48</v>
      </c>
      <c r="E27" s="21"/>
      <c r="F27" s="38"/>
      <c r="G27" s="39"/>
      <c r="H27" s="39"/>
      <c r="I27" s="21"/>
    </row>
    <row r="28" spans="1:9" x14ac:dyDescent="0.25">
      <c r="A28" s="1"/>
      <c r="B28" s="2"/>
      <c r="C28" s="10"/>
      <c r="D28" s="10"/>
      <c r="E28" s="21"/>
      <c r="F28" s="38"/>
      <c r="G28" s="39"/>
      <c r="H28" s="39"/>
      <c r="I28" s="21"/>
    </row>
    <row r="29" spans="1:9" x14ac:dyDescent="0.25">
      <c r="A29" s="1"/>
      <c r="B29" s="2"/>
      <c r="C29" s="10"/>
      <c r="D29" s="10"/>
      <c r="E29" s="21"/>
      <c r="F29" s="38"/>
      <c r="G29" s="39"/>
      <c r="H29" s="39"/>
      <c r="I29" s="21"/>
    </row>
    <row r="30" spans="1:9" x14ac:dyDescent="0.25">
      <c r="A30" s="1"/>
      <c r="B30" s="2"/>
      <c r="C30" s="10"/>
      <c r="D30" s="10"/>
      <c r="E30" s="21"/>
      <c r="F30" s="38"/>
      <c r="G30" s="39"/>
      <c r="H30" s="39"/>
      <c r="I30" s="21"/>
    </row>
    <row r="31" spans="1:9" x14ac:dyDescent="0.25">
      <c r="A31" s="2"/>
      <c r="B31" s="2"/>
      <c r="C31" s="10"/>
      <c r="D31" s="10"/>
      <c r="E31" s="21"/>
      <c r="F31" s="38"/>
      <c r="G31" s="39"/>
      <c r="H31" s="39"/>
      <c r="I31" s="21"/>
    </row>
    <row r="32" spans="1:9" x14ac:dyDescent="0.25">
      <c r="A32" s="2"/>
      <c r="B32" s="2"/>
      <c r="C32" s="10"/>
      <c r="D32" s="10"/>
      <c r="E32" s="21"/>
      <c r="F32" s="38"/>
      <c r="G32" s="39"/>
      <c r="H32" s="39"/>
      <c r="I32" s="21"/>
    </row>
    <row r="33" spans="1:9" x14ac:dyDescent="0.25">
      <c r="A33" s="2"/>
      <c r="B33" s="2"/>
      <c r="C33" s="10"/>
      <c r="D33" s="10"/>
      <c r="E33" s="21"/>
      <c r="F33" s="38"/>
      <c r="G33" s="39"/>
      <c r="H33" s="39"/>
      <c r="I33" s="21"/>
    </row>
    <row r="34" spans="1:9" x14ac:dyDescent="0.25">
      <c r="A34" s="52"/>
      <c r="B34" s="52"/>
      <c r="C34" s="53"/>
      <c r="D34" s="53"/>
      <c r="E34" s="21"/>
      <c r="F34" s="38"/>
      <c r="G34" s="39"/>
      <c r="H34" s="39"/>
      <c r="I34" s="21"/>
    </row>
    <row r="35" spans="1:9" x14ac:dyDescent="0.25">
      <c r="A35" s="52"/>
      <c r="B35" s="52"/>
      <c r="C35" s="53"/>
      <c r="D35" s="53"/>
      <c r="E35" s="21"/>
      <c r="F35" s="40"/>
      <c r="G35" s="41"/>
      <c r="H35" s="41"/>
      <c r="I35" s="21"/>
    </row>
    <row r="36" spans="1:9" ht="15" thickBot="1" x14ac:dyDescent="0.35">
      <c r="A36" s="3"/>
      <c r="B36" s="3"/>
      <c r="C36" s="11"/>
      <c r="D36" s="11"/>
      <c r="E36" s="21"/>
      <c r="F36" s="42"/>
      <c r="G36" s="42"/>
      <c r="H36" s="42"/>
      <c r="I36" s="21"/>
    </row>
    <row r="37" spans="1:9" ht="14.25" thickBot="1" x14ac:dyDescent="0.3">
      <c r="A37" s="49" t="s">
        <v>22</v>
      </c>
      <c r="B37" s="49">
        <f>SUM(B22:B36)</f>
        <v>12</v>
      </c>
      <c r="C37" s="88" t="s">
        <v>28</v>
      </c>
      <c r="D37" s="50"/>
      <c r="E37" s="21"/>
      <c r="F37" s="21"/>
      <c r="G37" s="21"/>
      <c r="H37" s="21"/>
      <c r="I37" s="21"/>
    </row>
    <row r="38" spans="1:9" ht="15" thickBot="1" x14ac:dyDescent="0.35">
      <c r="A38" s="51"/>
      <c r="B38" s="51"/>
      <c r="C38" s="51"/>
      <c r="D38" s="51"/>
      <c r="E38" s="21"/>
      <c r="F38" s="21"/>
      <c r="G38" s="21"/>
      <c r="H38" s="21"/>
      <c r="I38" s="21"/>
    </row>
    <row r="39" spans="1:9" ht="18.75" thickBot="1" x14ac:dyDescent="0.3">
      <c r="A39" s="44" t="s">
        <v>14</v>
      </c>
      <c r="B39" s="45">
        <v>3</v>
      </c>
      <c r="C39" s="46" t="s">
        <v>23</v>
      </c>
      <c r="D39" s="55">
        <f>$D$20+7</f>
        <v>43126</v>
      </c>
      <c r="E39" s="21"/>
      <c r="F39" s="21"/>
      <c r="G39" s="21"/>
      <c r="H39" s="21"/>
      <c r="I39" s="21"/>
    </row>
    <row r="40" spans="1:9" ht="27.75" thickBot="1" x14ac:dyDescent="0.3">
      <c r="A40" s="47" t="s">
        <v>3</v>
      </c>
      <c r="B40" s="48" t="s">
        <v>15</v>
      </c>
      <c r="C40" s="47" t="s">
        <v>7</v>
      </c>
      <c r="D40" s="47" t="s">
        <v>13</v>
      </c>
    </row>
    <row r="41" spans="1:9" ht="94.5" x14ac:dyDescent="0.25">
      <c r="A41" s="5" t="s">
        <v>46</v>
      </c>
      <c r="B41" s="4">
        <v>11</v>
      </c>
      <c r="C41" s="90" t="s">
        <v>49</v>
      </c>
      <c r="D41" s="9"/>
    </row>
    <row r="42" spans="1:9" x14ac:dyDescent="0.25">
      <c r="A42" s="1" t="s">
        <v>37</v>
      </c>
      <c r="B42" s="2">
        <v>1</v>
      </c>
      <c r="C42" s="10"/>
      <c r="D42" s="10"/>
    </row>
    <row r="43" spans="1:9" x14ac:dyDescent="0.25">
      <c r="A43" s="1"/>
      <c r="B43" s="2"/>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2"/>
      <c r="B53" s="52"/>
      <c r="C53" s="53"/>
      <c r="D53" s="53"/>
    </row>
    <row r="54" spans="1:4" x14ac:dyDescent="0.25">
      <c r="A54" s="52"/>
      <c r="B54" s="52"/>
      <c r="C54" s="53"/>
      <c r="D54" s="53"/>
    </row>
    <row r="55" spans="1:4" ht="14.25" thickBot="1" x14ac:dyDescent="0.3">
      <c r="A55" s="3"/>
      <c r="B55" s="3"/>
      <c r="C55" s="11"/>
      <c r="D55" s="11"/>
    </row>
    <row r="56" spans="1:4" ht="14.25" thickBot="1" x14ac:dyDescent="0.3">
      <c r="A56" s="49" t="s">
        <v>22</v>
      </c>
      <c r="B56" s="49">
        <f>SUM(B41:B55)</f>
        <v>12</v>
      </c>
      <c r="C56" s="88" t="s">
        <v>28</v>
      </c>
      <c r="D56" s="50"/>
    </row>
    <row r="57" spans="1:4" ht="15" thickBot="1" x14ac:dyDescent="0.35">
      <c r="A57" s="51"/>
      <c r="B57" s="51"/>
      <c r="C57" s="51"/>
      <c r="D57" s="51"/>
    </row>
    <row r="58" spans="1:4" ht="18.75" thickBot="1" x14ac:dyDescent="0.3">
      <c r="A58" s="44" t="s">
        <v>14</v>
      </c>
      <c r="B58" s="45">
        <v>4</v>
      </c>
      <c r="C58" s="46" t="s">
        <v>23</v>
      </c>
      <c r="D58" s="55">
        <f>$D$39+7</f>
        <v>43133</v>
      </c>
    </row>
    <row r="59" spans="1:4" ht="27.75" thickBot="1" x14ac:dyDescent="0.3">
      <c r="A59" s="47" t="s">
        <v>3</v>
      </c>
      <c r="B59" s="48" t="s">
        <v>15</v>
      </c>
      <c r="C59" s="47" t="s">
        <v>7</v>
      </c>
      <c r="D59" s="47" t="s">
        <v>13</v>
      </c>
    </row>
    <row r="60" spans="1:4" ht="202.5" x14ac:dyDescent="0.25">
      <c r="A60" s="5" t="s">
        <v>46</v>
      </c>
      <c r="B60" s="4">
        <v>9</v>
      </c>
      <c r="C60" s="90" t="s">
        <v>51</v>
      </c>
      <c r="D60" s="91" t="s">
        <v>50</v>
      </c>
    </row>
    <row r="61" spans="1:4" x14ac:dyDescent="0.25">
      <c r="A61" s="1" t="s">
        <v>37</v>
      </c>
      <c r="B61" s="2">
        <v>1</v>
      </c>
      <c r="C61" s="10"/>
      <c r="D61" s="10"/>
    </row>
    <row r="62" spans="1:4" ht="40.5" x14ac:dyDescent="0.25">
      <c r="A62" s="1" t="s">
        <v>52</v>
      </c>
      <c r="B62" s="2">
        <v>1</v>
      </c>
      <c r="C62" s="92" t="s">
        <v>53</v>
      </c>
      <c r="D62" s="93" t="s">
        <v>50</v>
      </c>
    </row>
    <row r="63" spans="1:4" x14ac:dyDescent="0.25">
      <c r="A63" s="1" t="s">
        <v>54</v>
      </c>
      <c r="B63" s="2">
        <v>1</v>
      </c>
      <c r="C63" s="92" t="s">
        <v>55</v>
      </c>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2"/>
      <c r="B72" s="52"/>
      <c r="C72" s="53"/>
      <c r="D72" s="53"/>
    </row>
    <row r="73" spans="1:4" x14ac:dyDescent="0.25">
      <c r="A73" s="52"/>
      <c r="B73" s="52"/>
      <c r="C73" s="53"/>
      <c r="D73" s="53"/>
    </row>
    <row r="74" spans="1:4" ht="14.25" thickBot="1" x14ac:dyDescent="0.3">
      <c r="A74" s="3"/>
      <c r="B74" s="3"/>
      <c r="C74" s="11"/>
      <c r="D74" s="11"/>
    </row>
    <row r="75" spans="1:4" ht="14.25" thickBot="1" x14ac:dyDescent="0.3">
      <c r="A75" s="49" t="s">
        <v>22</v>
      </c>
      <c r="B75" s="49">
        <f>SUM(B60:B74)</f>
        <v>12</v>
      </c>
      <c r="C75" s="88" t="s">
        <v>28</v>
      </c>
      <c r="D75" s="50"/>
    </row>
    <row r="76" spans="1:4" ht="15" thickBot="1" x14ac:dyDescent="0.35">
      <c r="A76" s="51"/>
      <c r="B76" s="51"/>
      <c r="C76" s="51"/>
      <c r="D76" s="51"/>
    </row>
    <row r="77" spans="1:4" ht="18.75" thickBot="1" x14ac:dyDescent="0.3">
      <c r="A77" s="44" t="s">
        <v>14</v>
      </c>
      <c r="B77" s="45">
        <v>5</v>
      </c>
      <c r="C77" s="46" t="s">
        <v>23</v>
      </c>
      <c r="D77" s="55">
        <f>$D$58+7</f>
        <v>43140</v>
      </c>
    </row>
    <row r="78" spans="1:4" ht="27.75" thickBot="1" x14ac:dyDescent="0.3">
      <c r="A78" s="47" t="s">
        <v>3</v>
      </c>
      <c r="B78" s="48" t="s">
        <v>15</v>
      </c>
      <c r="C78" s="47" t="s">
        <v>7</v>
      </c>
      <c r="D78" s="47"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2"/>
      <c r="B91" s="52"/>
      <c r="C91" s="53"/>
      <c r="D91" s="53"/>
    </row>
    <row r="92" spans="1:4" x14ac:dyDescent="0.25">
      <c r="A92" s="52"/>
      <c r="B92" s="52"/>
      <c r="C92" s="53"/>
      <c r="D92" s="53"/>
    </row>
    <row r="93" spans="1:4" ht="14.25" thickBot="1" x14ac:dyDescent="0.3">
      <c r="A93" s="3"/>
      <c r="B93" s="3"/>
      <c r="C93" s="11"/>
      <c r="D93" s="11"/>
    </row>
    <row r="94" spans="1:4" ht="14.25" thickBot="1" x14ac:dyDescent="0.3">
      <c r="A94" s="49" t="s">
        <v>22</v>
      </c>
      <c r="B94" s="49">
        <f>SUM(B79:B93)</f>
        <v>0</v>
      </c>
      <c r="C94" s="88" t="s">
        <v>28</v>
      </c>
      <c r="D94" s="50"/>
    </row>
    <row r="95" spans="1:4" ht="15" thickBot="1" x14ac:dyDescent="0.35">
      <c r="A95" s="51"/>
      <c r="B95" s="51"/>
      <c r="C95" s="51"/>
      <c r="D95" s="51"/>
    </row>
    <row r="96" spans="1:4" ht="18.75" thickBot="1" x14ac:dyDescent="0.3">
      <c r="A96" s="44" t="s">
        <v>14</v>
      </c>
      <c r="B96" s="45">
        <v>6</v>
      </c>
      <c r="C96" s="46" t="s">
        <v>23</v>
      </c>
      <c r="D96" s="55">
        <f>$D$77+7</f>
        <v>43147</v>
      </c>
    </row>
    <row r="97" spans="1:4" ht="27.75" thickBot="1" x14ac:dyDescent="0.3">
      <c r="A97" s="47" t="s">
        <v>3</v>
      </c>
      <c r="B97" s="48" t="s">
        <v>15</v>
      </c>
      <c r="C97" s="47" t="s">
        <v>7</v>
      </c>
      <c r="D97" s="47"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2"/>
      <c r="B110" s="52"/>
      <c r="C110" s="53"/>
      <c r="D110" s="53"/>
    </row>
    <row r="111" spans="1:4" x14ac:dyDescent="0.25">
      <c r="A111" s="52"/>
      <c r="B111" s="52"/>
      <c r="C111" s="53"/>
      <c r="D111" s="53"/>
    </row>
    <row r="112" spans="1:4" ht="14.25" thickBot="1" x14ac:dyDescent="0.3">
      <c r="A112" s="3"/>
      <c r="B112" s="3"/>
      <c r="C112" s="11"/>
      <c r="D112" s="11"/>
    </row>
    <row r="113" spans="1:4" ht="14.25" thickBot="1" x14ac:dyDescent="0.3">
      <c r="A113" s="49" t="s">
        <v>22</v>
      </c>
      <c r="B113" s="49">
        <f>SUM(B98:B112)</f>
        <v>0</v>
      </c>
      <c r="C113" s="88" t="s">
        <v>28</v>
      </c>
      <c r="D113" s="50"/>
    </row>
    <row r="114" spans="1:4" ht="15" thickBot="1" x14ac:dyDescent="0.35">
      <c r="A114" s="51"/>
      <c r="B114" s="51"/>
      <c r="C114" s="51"/>
      <c r="D114" s="51"/>
    </row>
    <row r="115" spans="1:4" ht="18.75" thickBot="1" x14ac:dyDescent="0.3">
      <c r="A115" s="44" t="s">
        <v>14</v>
      </c>
      <c r="B115" s="45">
        <v>7</v>
      </c>
      <c r="C115" s="46" t="s">
        <v>23</v>
      </c>
      <c r="D115" s="55">
        <f>$D$96+7</f>
        <v>43154</v>
      </c>
    </row>
    <row r="116" spans="1:4" ht="27.75" thickBot="1" x14ac:dyDescent="0.3">
      <c r="A116" s="47" t="s">
        <v>3</v>
      </c>
      <c r="B116" s="48" t="s">
        <v>15</v>
      </c>
      <c r="C116" s="47" t="s">
        <v>7</v>
      </c>
      <c r="D116" s="47"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2"/>
      <c r="B129" s="52"/>
      <c r="C129" s="53"/>
      <c r="D129" s="53"/>
    </row>
    <row r="130" spans="1:4" x14ac:dyDescent="0.25">
      <c r="A130" s="52"/>
      <c r="B130" s="52"/>
      <c r="C130" s="53"/>
      <c r="D130" s="53"/>
    </row>
    <row r="131" spans="1:4" ht="14.25" thickBot="1" x14ac:dyDescent="0.3">
      <c r="A131" s="3"/>
      <c r="B131" s="3"/>
      <c r="C131" s="11"/>
      <c r="D131" s="11"/>
    </row>
    <row r="132" spans="1:4" ht="14.25" thickBot="1" x14ac:dyDescent="0.3">
      <c r="A132" s="49" t="s">
        <v>22</v>
      </c>
      <c r="B132" s="49">
        <f>SUM(B117:B131)</f>
        <v>0</v>
      </c>
      <c r="C132" s="88" t="s">
        <v>28</v>
      </c>
      <c r="D132" s="50"/>
    </row>
    <row r="133" spans="1:4" ht="15" thickBot="1" x14ac:dyDescent="0.35">
      <c r="A133" s="51"/>
      <c r="B133" s="51"/>
      <c r="C133" s="51"/>
      <c r="D133" s="51"/>
    </row>
    <row r="134" spans="1:4" ht="18.75" thickBot="1" x14ac:dyDescent="0.3">
      <c r="A134" s="44" t="s">
        <v>14</v>
      </c>
      <c r="B134" s="45">
        <v>8</v>
      </c>
      <c r="C134" s="46" t="s">
        <v>23</v>
      </c>
      <c r="D134" s="55">
        <f>$D$115+7</f>
        <v>43161</v>
      </c>
    </row>
    <row r="135" spans="1:4" ht="27.75" thickBot="1" x14ac:dyDescent="0.3">
      <c r="A135" s="47" t="s">
        <v>3</v>
      </c>
      <c r="B135" s="48" t="s">
        <v>15</v>
      </c>
      <c r="C135" s="47" t="s">
        <v>7</v>
      </c>
      <c r="D135" s="47"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2"/>
      <c r="B148" s="52"/>
      <c r="C148" s="53"/>
      <c r="D148" s="53"/>
    </row>
    <row r="149" spans="1:4" x14ac:dyDescent="0.25">
      <c r="A149" s="52"/>
      <c r="B149" s="52"/>
      <c r="C149" s="53"/>
      <c r="D149" s="53"/>
    </row>
    <row r="150" spans="1:4" ht="14.25" thickBot="1" x14ac:dyDescent="0.3">
      <c r="A150" s="3"/>
      <c r="B150" s="3"/>
      <c r="C150" s="11"/>
      <c r="D150" s="11"/>
    </row>
    <row r="151" spans="1:4" ht="14.25" thickBot="1" x14ac:dyDescent="0.3">
      <c r="A151" s="49" t="s">
        <v>22</v>
      </c>
      <c r="B151" s="49">
        <f>SUM(B136:B150)</f>
        <v>0</v>
      </c>
      <c r="C151" s="88" t="s">
        <v>28</v>
      </c>
      <c r="D151" s="50"/>
    </row>
    <row r="152" spans="1:4" ht="15" thickBot="1" x14ac:dyDescent="0.35">
      <c r="A152" s="51"/>
      <c r="B152" s="51"/>
      <c r="C152" s="51"/>
      <c r="D152" s="51"/>
    </row>
    <row r="153" spans="1:4" ht="18.75" thickBot="1" x14ac:dyDescent="0.3">
      <c r="A153" s="44" t="s">
        <v>14</v>
      </c>
      <c r="B153" s="45">
        <v>9</v>
      </c>
      <c r="C153" s="46" t="s">
        <v>23</v>
      </c>
      <c r="D153" s="55">
        <f>$D$134+7</f>
        <v>43168</v>
      </c>
    </row>
    <row r="154" spans="1:4" ht="27.75" thickBot="1" x14ac:dyDescent="0.3">
      <c r="A154" s="47" t="s">
        <v>3</v>
      </c>
      <c r="B154" s="48" t="s">
        <v>15</v>
      </c>
      <c r="C154" s="47" t="s">
        <v>7</v>
      </c>
      <c r="D154" s="47" t="s">
        <v>13</v>
      </c>
    </row>
    <row r="155" spans="1:4" x14ac:dyDescent="0.25">
      <c r="A155" s="5"/>
      <c r="B155" s="4"/>
      <c r="C155" s="9"/>
      <c r="D155" s="9"/>
    </row>
    <row r="156" spans="1:4" x14ac:dyDescent="0.25">
      <c r="A156" s="1"/>
      <c r="B156" s="2"/>
      <c r="C156" s="10"/>
      <c r="D156" s="10"/>
    </row>
    <row r="157" spans="1:4" x14ac:dyDescent="0.25">
      <c r="A157" s="1"/>
      <c r="B157" s="2"/>
      <c r="C157" s="10"/>
      <c r="D157" s="10"/>
    </row>
    <row r="158" spans="1:4" x14ac:dyDescent="0.25">
      <c r="A158" s="1"/>
      <c r="B158" s="2"/>
      <c r="C158" s="10"/>
      <c r="D158" s="10"/>
    </row>
    <row r="159" spans="1:4" x14ac:dyDescent="0.25">
      <c r="A159" s="1"/>
      <c r="B159" s="2"/>
      <c r="C159" s="10"/>
      <c r="D159" s="10"/>
    </row>
    <row r="160" spans="1:4" x14ac:dyDescent="0.25">
      <c r="A160" s="1"/>
      <c r="B160" s="2"/>
      <c r="C160" s="10"/>
      <c r="D160" s="10"/>
    </row>
    <row r="161" spans="1:4" x14ac:dyDescent="0.25">
      <c r="A161" s="1"/>
      <c r="B161" s="2"/>
      <c r="C161" s="10"/>
      <c r="D161" s="10"/>
    </row>
    <row r="162" spans="1:4" x14ac:dyDescent="0.25">
      <c r="A162" s="1"/>
      <c r="B162" s="2"/>
      <c r="C162" s="10"/>
      <c r="D162" s="10"/>
    </row>
    <row r="163" spans="1:4" x14ac:dyDescent="0.25">
      <c r="A163" s="1"/>
      <c r="B163" s="2"/>
      <c r="C163" s="10"/>
      <c r="D163" s="10"/>
    </row>
    <row r="164" spans="1:4" x14ac:dyDescent="0.25">
      <c r="A164" s="2"/>
      <c r="B164" s="2"/>
      <c r="C164" s="10"/>
      <c r="D164" s="10"/>
    </row>
    <row r="165" spans="1:4" x14ac:dyDescent="0.25">
      <c r="A165" s="2"/>
      <c r="B165" s="2"/>
      <c r="C165" s="10"/>
      <c r="D165" s="10"/>
    </row>
    <row r="166" spans="1:4" x14ac:dyDescent="0.25">
      <c r="A166" s="2"/>
      <c r="B166" s="2"/>
      <c r="C166" s="10"/>
      <c r="D166" s="10"/>
    </row>
    <row r="167" spans="1:4" x14ac:dyDescent="0.25">
      <c r="A167" s="52"/>
      <c r="B167" s="52"/>
      <c r="C167" s="53"/>
      <c r="D167" s="53"/>
    </row>
    <row r="168" spans="1:4" x14ac:dyDescent="0.25">
      <c r="A168" s="52"/>
      <c r="B168" s="52"/>
      <c r="C168" s="53"/>
      <c r="D168" s="53"/>
    </row>
    <row r="169" spans="1:4" ht="14.25" thickBot="1" x14ac:dyDescent="0.3">
      <c r="A169" s="3"/>
      <c r="B169" s="3"/>
      <c r="C169" s="11"/>
      <c r="D169" s="11"/>
    </row>
    <row r="170" spans="1:4" ht="14.25" thickBot="1" x14ac:dyDescent="0.3">
      <c r="A170" s="49" t="s">
        <v>22</v>
      </c>
      <c r="B170" s="49">
        <f>SUM(B155:B169)</f>
        <v>0</v>
      </c>
      <c r="C170" s="88" t="s">
        <v>28</v>
      </c>
      <c r="D170" s="50"/>
    </row>
    <row r="171" spans="1:4" ht="15" thickBot="1" x14ac:dyDescent="0.35">
      <c r="A171" s="51"/>
      <c r="B171" s="51"/>
      <c r="C171" s="51"/>
      <c r="D171" s="51"/>
    </row>
    <row r="172" spans="1:4" ht="18.75" thickBot="1" x14ac:dyDescent="0.3">
      <c r="A172" s="44" t="s">
        <v>14</v>
      </c>
      <c r="B172" s="45">
        <v>10</v>
      </c>
      <c r="C172" s="46" t="s">
        <v>23</v>
      </c>
      <c r="D172" s="55">
        <f>$D$153+7</f>
        <v>43175</v>
      </c>
    </row>
    <row r="173" spans="1:4" ht="27.75" thickBot="1" x14ac:dyDescent="0.3">
      <c r="A173" s="47" t="s">
        <v>3</v>
      </c>
      <c r="B173" s="48" t="s">
        <v>15</v>
      </c>
      <c r="C173" s="47" t="s">
        <v>7</v>
      </c>
      <c r="D173" s="47" t="s">
        <v>13</v>
      </c>
    </row>
    <row r="174" spans="1:4" x14ac:dyDescent="0.25">
      <c r="A174" s="5"/>
      <c r="B174" s="4"/>
      <c r="C174" s="9"/>
      <c r="D174" s="9"/>
    </row>
    <row r="175" spans="1:4" x14ac:dyDescent="0.25">
      <c r="A175" s="1"/>
      <c r="B175" s="2"/>
      <c r="C175" s="10"/>
      <c r="D175" s="10"/>
    </row>
    <row r="176" spans="1:4" x14ac:dyDescent="0.25">
      <c r="A176" s="1"/>
      <c r="B176" s="2"/>
      <c r="C176" s="10"/>
      <c r="D176" s="10"/>
    </row>
    <row r="177" spans="1:4" x14ac:dyDescent="0.25">
      <c r="A177" s="1"/>
      <c r="B177" s="2"/>
      <c r="C177" s="10"/>
      <c r="D177" s="10"/>
    </row>
    <row r="178" spans="1:4" x14ac:dyDescent="0.25">
      <c r="A178" s="1"/>
      <c r="B178" s="2"/>
      <c r="C178" s="10"/>
      <c r="D178" s="10"/>
    </row>
    <row r="179" spans="1:4" x14ac:dyDescent="0.25">
      <c r="A179" s="1"/>
      <c r="B179" s="2"/>
      <c r="C179" s="10"/>
      <c r="D179" s="10"/>
    </row>
    <row r="180" spans="1:4" x14ac:dyDescent="0.25">
      <c r="A180" s="1"/>
      <c r="B180" s="2"/>
      <c r="C180" s="10"/>
      <c r="D180" s="10"/>
    </row>
    <row r="181" spans="1:4" x14ac:dyDescent="0.25">
      <c r="A181" s="1"/>
      <c r="B181" s="2"/>
      <c r="C181" s="10"/>
      <c r="D181" s="10"/>
    </row>
    <row r="182" spans="1:4" x14ac:dyDescent="0.25">
      <c r="A182" s="1"/>
      <c r="B182" s="2"/>
      <c r="C182" s="10"/>
      <c r="D182" s="10"/>
    </row>
    <row r="183" spans="1:4" x14ac:dyDescent="0.25">
      <c r="A183" s="2"/>
      <c r="B183" s="2"/>
      <c r="C183" s="10"/>
      <c r="D183" s="10"/>
    </row>
    <row r="184" spans="1:4" x14ac:dyDescent="0.25">
      <c r="A184" s="2"/>
      <c r="B184" s="2"/>
      <c r="C184" s="10"/>
      <c r="D184" s="10"/>
    </row>
    <row r="185" spans="1:4" x14ac:dyDescent="0.25">
      <c r="A185" s="2"/>
      <c r="B185" s="2"/>
      <c r="C185" s="10"/>
      <c r="D185" s="10"/>
    </row>
    <row r="186" spans="1:4" x14ac:dyDescent="0.25">
      <c r="A186" s="52"/>
      <c r="B186" s="52"/>
      <c r="C186" s="53"/>
      <c r="D186" s="53"/>
    </row>
    <row r="187" spans="1:4" x14ac:dyDescent="0.25">
      <c r="A187" s="52"/>
      <c r="B187" s="52"/>
      <c r="C187" s="53"/>
      <c r="D187" s="53"/>
    </row>
    <row r="188" spans="1:4" ht="14.25" thickBot="1" x14ac:dyDescent="0.3">
      <c r="A188" s="3"/>
      <c r="B188" s="3"/>
      <c r="C188" s="11"/>
      <c r="D188" s="11"/>
    </row>
    <row r="189" spans="1:4" ht="14.25" thickBot="1" x14ac:dyDescent="0.3">
      <c r="A189" s="49" t="s">
        <v>22</v>
      </c>
      <c r="B189" s="49">
        <f>SUM(B174:B188)</f>
        <v>0</v>
      </c>
      <c r="C189" s="88" t="s">
        <v>28</v>
      </c>
      <c r="D189" s="50"/>
    </row>
    <row r="190" spans="1:4" ht="15" thickBot="1" x14ac:dyDescent="0.35">
      <c r="A190" s="51"/>
      <c r="B190" s="51"/>
      <c r="C190" s="51"/>
      <c r="D190" s="51"/>
    </row>
    <row r="191" spans="1:4" ht="18.75" thickBot="1" x14ac:dyDescent="0.3">
      <c r="A191" s="44" t="s">
        <v>14</v>
      </c>
      <c r="B191" s="45">
        <v>11</v>
      </c>
      <c r="C191" s="46" t="s">
        <v>23</v>
      </c>
      <c r="D191" s="55">
        <f>$D$172+7</f>
        <v>43182</v>
      </c>
    </row>
    <row r="192" spans="1:4" ht="27.75" thickBot="1" x14ac:dyDescent="0.3">
      <c r="A192" s="47" t="s">
        <v>3</v>
      </c>
      <c r="B192" s="48" t="s">
        <v>15</v>
      </c>
      <c r="C192" s="47" t="s">
        <v>7</v>
      </c>
      <c r="D192" s="47" t="s">
        <v>13</v>
      </c>
    </row>
    <row r="193" spans="1:4" x14ac:dyDescent="0.25">
      <c r="A193" s="5"/>
      <c r="B193" s="4"/>
      <c r="C193" s="9"/>
      <c r="D193" s="9"/>
    </row>
    <row r="194" spans="1:4" x14ac:dyDescent="0.25">
      <c r="A194" s="1"/>
      <c r="B194" s="2"/>
      <c r="C194" s="10"/>
      <c r="D194" s="10"/>
    </row>
    <row r="195" spans="1:4" x14ac:dyDescent="0.25">
      <c r="A195" s="1"/>
      <c r="B195" s="2"/>
      <c r="C195" s="10"/>
      <c r="D195" s="10"/>
    </row>
    <row r="196" spans="1:4" x14ac:dyDescent="0.25">
      <c r="A196" s="1"/>
      <c r="B196" s="2"/>
      <c r="C196" s="10"/>
      <c r="D196" s="10"/>
    </row>
    <row r="197" spans="1:4" x14ac:dyDescent="0.25">
      <c r="A197" s="1"/>
      <c r="B197" s="2"/>
      <c r="C197" s="10"/>
      <c r="D197" s="10"/>
    </row>
    <row r="198" spans="1:4" x14ac:dyDescent="0.25">
      <c r="A198" s="1"/>
      <c r="B198" s="2"/>
      <c r="C198" s="10"/>
      <c r="D198" s="10"/>
    </row>
    <row r="199" spans="1:4" x14ac:dyDescent="0.25">
      <c r="A199" s="1"/>
      <c r="B199" s="2"/>
      <c r="C199" s="10"/>
      <c r="D199" s="10"/>
    </row>
    <row r="200" spans="1:4" x14ac:dyDescent="0.25">
      <c r="A200" s="1"/>
      <c r="B200" s="2"/>
      <c r="C200" s="10"/>
      <c r="D200" s="10"/>
    </row>
    <row r="201" spans="1:4" x14ac:dyDescent="0.25">
      <c r="A201" s="1"/>
      <c r="B201" s="2"/>
      <c r="C201" s="10"/>
      <c r="D201" s="10"/>
    </row>
    <row r="202" spans="1:4" x14ac:dyDescent="0.25">
      <c r="A202" s="2"/>
      <c r="B202" s="2"/>
      <c r="C202" s="10"/>
      <c r="D202" s="10"/>
    </row>
    <row r="203" spans="1:4" x14ac:dyDescent="0.25">
      <c r="A203" s="2"/>
      <c r="B203" s="2"/>
      <c r="C203" s="10"/>
      <c r="D203" s="10"/>
    </row>
    <row r="204" spans="1:4" x14ac:dyDescent="0.25">
      <c r="A204" s="2"/>
      <c r="B204" s="2"/>
      <c r="C204" s="10"/>
      <c r="D204" s="10"/>
    </row>
    <row r="205" spans="1:4" x14ac:dyDescent="0.25">
      <c r="A205" s="52"/>
      <c r="B205" s="52"/>
      <c r="C205" s="53"/>
      <c r="D205" s="53"/>
    </row>
    <row r="206" spans="1:4" x14ac:dyDescent="0.25">
      <c r="A206" s="52"/>
      <c r="B206" s="52"/>
      <c r="C206" s="53"/>
      <c r="D206" s="53"/>
    </row>
    <row r="207" spans="1:4" ht="14.25" thickBot="1" x14ac:dyDescent="0.3">
      <c r="A207" s="3"/>
      <c r="B207" s="3"/>
      <c r="C207" s="11"/>
      <c r="D207" s="11"/>
    </row>
    <row r="208" spans="1:4" ht="14.25" thickBot="1" x14ac:dyDescent="0.3">
      <c r="A208" s="49" t="s">
        <v>22</v>
      </c>
      <c r="B208" s="49">
        <f>SUM(B193:B207)</f>
        <v>0</v>
      </c>
      <c r="C208" s="88" t="s">
        <v>28</v>
      </c>
      <c r="D208" s="50"/>
    </row>
    <row r="209" spans="1:4" ht="15" thickBot="1" x14ac:dyDescent="0.35">
      <c r="A209" s="51"/>
      <c r="B209" s="51"/>
      <c r="C209" s="51"/>
      <c r="D209" s="51"/>
    </row>
    <row r="210" spans="1:4" ht="18.75" thickBot="1" x14ac:dyDescent="0.3">
      <c r="A210" s="44" t="s">
        <v>14</v>
      </c>
      <c r="B210" s="45">
        <v>12</v>
      </c>
      <c r="C210" s="46" t="s">
        <v>23</v>
      </c>
      <c r="D210" s="55">
        <f>$D$191+7</f>
        <v>43189</v>
      </c>
    </row>
    <row r="211" spans="1:4" ht="27.75" thickBot="1" x14ac:dyDescent="0.3">
      <c r="A211" s="47" t="s">
        <v>3</v>
      </c>
      <c r="B211" s="48" t="s">
        <v>15</v>
      </c>
      <c r="C211" s="47" t="s">
        <v>7</v>
      </c>
      <c r="D211" s="47" t="s">
        <v>13</v>
      </c>
    </row>
    <row r="212" spans="1:4" x14ac:dyDescent="0.25">
      <c r="A212" s="5"/>
      <c r="B212" s="4"/>
      <c r="C212" s="9"/>
      <c r="D212" s="9"/>
    </row>
    <row r="213" spans="1:4" x14ac:dyDescent="0.25">
      <c r="A213" s="1"/>
      <c r="B213" s="2"/>
      <c r="C213" s="10"/>
      <c r="D213" s="10"/>
    </row>
    <row r="214" spans="1:4" x14ac:dyDescent="0.25">
      <c r="A214" s="1"/>
      <c r="B214" s="2"/>
      <c r="C214" s="10"/>
      <c r="D214" s="10"/>
    </row>
    <row r="215" spans="1:4" x14ac:dyDescent="0.25">
      <c r="A215" s="1"/>
      <c r="B215" s="2"/>
      <c r="C215" s="10"/>
      <c r="D215" s="10"/>
    </row>
    <row r="216" spans="1:4" x14ac:dyDescent="0.25">
      <c r="A216" s="1"/>
      <c r="B216" s="2"/>
      <c r="C216" s="10"/>
      <c r="D216" s="10"/>
    </row>
    <row r="217" spans="1:4" x14ac:dyDescent="0.25">
      <c r="A217" s="1"/>
      <c r="B217" s="2"/>
      <c r="C217" s="10"/>
      <c r="D217" s="10"/>
    </row>
    <row r="218" spans="1:4" x14ac:dyDescent="0.25">
      <c r="A218" s="1"/>
      <c r="B218" s="2"/>
      <c r="C218" s="10"/>
      <c r="D218" s="10"/>
    </row>
    <row r="219" spans="1:4" x14ac:dyDescent="0.25">
      <c r="A219" s="1"/>
      <c r="B219" s="2"/>
      <c r="C219" s="10"/>
      <c r="D219" s="10"/>
    </row>
    <row r="220" spans="1:4" x14ac:dyDescent="0.25">
      <c r="A220" s="1"/>
      <c r="B220" s="2"/>
      <c r="C220" s="10"/>
      <c r="D220" s="10"/>
    </row>
    <row r="221" spans="1:4" x14ac:dyDescent="0.25">
      <c r="A221" s="2"/>
      <c r="B221" s="2"/>
      <c r="C221" s="10"/>
      <c r="D221" s="10"/>
    </row>
    <row r="222" spans="1:4" x14ac:dyDescent="0.25">
      <c r="A222" s="2"/>
      <c r="B222" s="2"/>
      <c r="C222" s="10"/>
      <c r="D222" s="10"/>
    </row>
    <row r="223" spans="1:4" x14ac:dyDescent="0.25">
      <c r="A223" s="2"/>
      <c r="B223" s="2"/>
      <c r="C223" s="10"/>
      <c r="D223" s="10"/>
    </row>
    <row r="224" spans="1:4" x14ac:dyDescent="0.25">
      <c r="A224" s="52"/>
      <c r="B224" s="52"/>
      <c r="C224" s="53"/>
      <c r="D224" s="53"/>
    </row>
    <row r="225" spans="1:4" x14ac:dyDescent="0.25">
      <c r="A225" s="52"/>
      <c r="B225" s="52"/>
      <c r="C225" s="53"/>
      <c r="D225" s="53"/>
    </row>
    <row r="226" spans="1:4" ht="14.25" thickBot="1" x14ac:dyDescent="0.3">
      <c r="A226" s="3"/>
      <c r="B226" s="3"/>
      <c r="C226" s="11"/>
      <c r="D226" s="11"/>
    </row>
    <row r="227" spans="1:4" ht="14.25" thickBot="1" x14ac:dyDescent="0.3">
      <c r="A227" s="49" t="s">
        <v>22</v>
      </c>
      <c r="B227" s="49">
        <f>SUM(B212:B226)</f>
        <v>0</v>
      </c>
      <c r="C227" s="88" t="s">
        <v>28</v>
      </c>
      <c r="D227" s="50"/>
    </row>
    <row r="228" spans="1:4" ht="15" thickBot="1" x14ac:dyDescent="0.35">
      <c r="A228" s="51"/>
      <c r="B228" s="51"/>
      <c r="C228" s="51"/>
      <c r="D228" s="51"/>
    </row>
    <row r="229" spans="1:4" ht="18.75" thickBot="1" x14ac:dyDescent="0.3">
      <c r="A229" s="44" t="s">
        <v>14</v>
      </c>
      <c r="B229" s="45">
        <v>13</v>
      </c>
      <c r="C229" s="46" t="s">
        <v>23</v>
      </c>
      <c r="D229" s="55">
        <f>$D$210+7</f>
        <v>43196</v>
      </c>
    </row>
    <row r="230" spans="1:4" ht="27.75" thickBot="1" x14ac:dyDescent="0.3">
      <c r="A230" s="47" t="s">
        <v>3</v>
      </c>
      <c r="B230" s="48" t="s">
        <v>15</v>
      </c>
      <c r="C230" s="47" t="s">
        <v>7</v>
      </c>
      <c r="D230" s="47" t="s">
        <v>13</v>
      </c>
    </row>
    <row r="231" spans="1:4" x14ac:dyDescent="0.25">
      <c r="A231" s="5"/>
      <c r="B231" s="4"/>
      <c r="C231" s="9"/>
      <c r="D231" s="9"/>
    </row>
    <row r="232" spans="1:4" x14ac:dyDescent="0.25">
      <c r="A232" s="1"/>
      <c r="B232" s="2"/>
      <c r="C232" s="10"/>
      <c r="D232" s="10"/>
    </row>
    <row r="233" spans="1:4" x14ac:dyDescent="0.25">
      <c r="A233" s="1"/>
      <c r="B233" s="2"/>
      <c r="C233" s="10"/>
      <c r="D233" s="10"/>
    </row>
    <row r="234" spans="1:4" x14ac:dyDescent="0.25">
      <c r="A234" s="1"/>
      <c r="B234" s="2"/>
      <c r="C234" s="10"/>
      <c r="D234" s="10"/>
    </row>
    <row r="235" spans="1:4" x14ac:dyDescent="0.25">
      <c r="A235" s="1"/>
      <c r="B235" s="2"/>
      <c r="C235" s="10"/>
      <c r="D235" s="10"/>
    </row>
    <row r="236" spans="1:4" x14ac:dyDescent="0.25">
      <c r="A236" s="1"/>
      <c r="B236" s="2"/>
      <c r="C236" s="10"/>
      <c r="D236" s="10"/>
    </row>
    <row r="237" spans="1:4" x14ac:dyDescent="0.25">
      <c r="A237" s="1"/>
      <c r="B237" s="2"/>
      <c r="C237" s="10"/>
      <c r="D237" s="10"/>
    </row>
    <row r="238" spans="1:4" x14ac:dyDescent="0.25">
      <c r="A238" s="1"/>
      <c r="B238" s="2"/>
      <c r="C238" s="10"/>
      <c r="D238" s="10"/>
    </row>
    <row r="239" spans="1:4" x14ac:dyDescent="0.25">
      <c r="A239" s="1"/>
      <c r="B239" s="2"/>
      <c r="C239" s="10"/>
      <c r="D239" s="10"/>
    </row>
    <row r="240" spans="1:4" x14ac:dyDescent="0.25">
      <c r="A240" s="2"/>
      <c r="B240" s="2"/>
      <c r="C240" s="10"/>
      <c r="D240" s="10"/>
    </row>
    <row r="241" spans="1:4" x14ac:dyDescent="0.25">
      <c r="A241" s="2"/>
      <c r="B241" s="2"/>
      <c r="C241" s="10"/>
      <c r="D241" s="10"/>
    </row>
    <row r="242" spans="1:4" x14ac:dyDescent="0.25">
      <c r="A242" s="2"/>
      <c r="B242" s="2"/>
      <c r="C242" s="10"/>
      <c r="D242" s="10"/>
    </row>
    <row r="243" spans="1:4" x14ac:dyDescent="0.25">
      <c r="A243" s="52"/>
      <c r="B243" s="52"/>
      <c r="C243" s="53"/>
      <c r="D243" s="53"/>
    </row>
    <row r="244" spans="1:4" x14ac:dyDescent="0.25">
      <c r="A244" s="52"/>
      <c r="B244" s="52"/>
      <c r="C244" s="53"/>
      <c r="D244" s="53"/>
    </row>
    <row r="245" spans="1:4" ht="14.25" thickBot="1" x14ac:dyDescent="0.3">
      <c r="A245" s="3"/>
      <c r="B245" s="3"/>
      <c r="C245" s="11"/>
      <c r="D245" s="11"/>
    </row>
    <row r="246" spans="1:4" ht="14.25" thickBot="1" x14ac:dyDescent="0.3">
      <c r="A246" s="49" t="s">
        <v>22</v>
      </c>
      <c r="B246" s="49">
        <f>SUM(B231:B245)</f>
        <v>0</v>
      </c>
      <c r="C246" s="88" t="s">
        <v>28</v>
      </c>
      <c r="D246" s="50"/>
    </row>
    <row r="247" spans="1:4" ht="15" thickBot="1" x14ac:dyDescent="0.35">
      <c r="A247" s="51"/>
      <c r="B247" s="51"/>
      <c r="C247" s="51"/>
      <c r="D247" s="51"/>
    </row>
    <row r="248" spans="1:4" ht="18.75" thickBot="1" x14ac:dyDescent="0.3">
      <c r="A248" s="44" t="s">
        <v>14</v>
      </c>
      <c r="B248" s="45">
        <v>14</v>
      </c>
      <c r="C248" s="46" t="s">
        <v>23</v>
      </c>
      <c r="D248" s="55">
        <f>$D$229+7</f>
        <v>43203</v>
      </c>
    </row>
    <row r="249" spans="1:4" ht="27.75" thickBot="1" x14ac:dyDescent="0.3">
      <c r="A249" s="47" t="s">
        <v>3</v>
      </c>
      <c r="B249" s="48" t="s">
        <v>15</v>
      </c>
      <c r="C249" s="47" t="s">
        <v>7</v>
      </c>
      <c r="D249" s="47" t="s">
        <v>13</v>
      </c>
    </row>
    <row r="250" spans="1:4" x14ac:dyDescent="0.25">
      <c r="A250" s="5"/>
      <c r="B250" s="4"/>
      <c r="C250" s="9"/>
      <c r="D250" s="9"/>
    </row>
    <row r="251" spans="1:4" x14ac:dyDescent="0.25">
      <c r="A251" s="1"/>
      <c r="B251" s="2"/>
      <c r="C251" s="10"/>
      <c r="D251" s="10"/>
    </row>
    <row r="252" spans="1:4" x14ac:dyDescent="0.25">
      <c r="A252" s="1"/>
      <c r="B252" s="2"/>
      <c r="C252" s="10"/>
      <c r="D252" s="10"/>
    </row>
    <row r="253" spans="1:4" x14ac:dyDescent="0.25">
      <c r="A253" s="1"/>
      <c r="B253" s="2"/>
      <c r="C253" s="10"/>
      <c r="D253" s="10"/>
    </row>
    <row r="254" spans="1:4" x14ac:dyDescent="0.25">
      <c r="A254" s="1"/>
      <c r="B254" s="2"/>
      <c r="C254" s="10"/>
      <c r="D254" s="10"/>
    </row>
    <row r="255" spans="1:4" x14ac:dyDescent="0.25">
      <c r="A255" s="1"/>
      <c r="B255" s="2"/>
      <c r="C255" s="10"/>
      <c r="D255" s="10"/>
    </row>
    <row r="256" spans="1:4" x14ac:dyDescent="0.25">
      <c r="A256" s="1"/>
      <c r="B256" s="2"/>
      <c r="C256" s="10"/>
      <c r="D256" s="10"/>
    </row>
    <row r="257" spans="1:4" x14ac:dyDescent="0.25">
      <c r="A257" s="1"/>
      <c r="B257" s="2"/>
      <c r="C257" s="10"/>
      <c r="D257" s="10"/>
    </row>
    <row r="258" spans="1:4" x14ac:dyDescent="0.25">
      <c r="A258" s="1"/>
      <c r="B258" s="2"/>
      <c r="C258" s="10"/>
      <c r="D258" s="10"/>
    </row>
    <row r="259" spans="1:4" x14ac:dyDescent="0.25">
      <c r="A259" s="2"/>
      <c r="B259" s="2"/>
      <c r="C259" s="10"/>
      <c r="D259" s="10"/>
    </row>
    <row r="260" spans="1:4" x14ac:dyDescent="0.25">
      <c r="A260" s="2"/>
      <c r="B260" s="2"/>
      <c r="C260" s="10"/>
      <c r="D260" s="10"/>
    </row>
    <row r="261" spans="1:4" x14ac:dyDescent="0.25">
      <c r="A261" s="2"/>
      <c r="B261" s="2"/>
      <c r="C261" s="10"/>
      <c r="D261" s="10"/>
    </row>
    <row r="262" spans="1:4" x14ac:dyDescent="0.25">
      <c r="A262" s="52"/>
      <c r="B262" s="52"/>
      <c r="C262" s="53"/>
      <c r="D262" s="53"/>
    </row>
    <row r="263" spans="1:4" x14ac:dyDescent="0.25">
      <c r="A263" s="52"/>
      <c r="B263" s="52"/>
      <c r="C263" s="53"/>
      <c r="D263" s="53"/>
    </row>
    <row r="264" spans="1:4" ht="14.25" thickBot="1" x14ac:dyDescent="0.3">
      <c r="A264" s="3"/>
      <c r="B264" s="3"/>
      <c r="C264" s="11"/>
      <c r="D264" s="11"/>
    </row>
    <row r="265" spans="1:4" ht="14.25" thickBot="1" x14ac:dyDescent="0.3">
      <c r="A265" s="49" t="s">
        <v>22</v>
      </c>
      <c r="B265" s="49">
        <f>SUM(B250:B264)</f>
        <v>0</v>
      </c>
      <c r="C265" s="88" t="s">
        <v>28</v>
      </c>
      <c r="D265" s="50"/>
    </row>
    <row r="266" spans="1:4" ht="15" thickBot="1" x14ac:dyDescent="0.35">
      <c r="A266" s="51"/>
      <c r="B266" s="51"/>
      <c r="C266" s="51"/>
      <c r="D266" s="51"/>
    </row>
    <row r="267" spans="1:4" ht="18.75" thickBot="1" x14ac:dyDescent="0.3">
      <c r="A267" s="44" t="s">
        <v>14</v>
      </c>
      <c r="B267" s="45">
        <v>15</v>
      </c>
      <c r="C267" s="46" t="s">
        <v>23</v>
      </c>
      <c r="D267" s="55">
        <f>$D$248+7</f>
        <v>43210</v>
      </c>
    </row>
    <row r="268" spans="1:4" ht="27.75" thickBot="1" x14ac:dyDescent="0.3">
      <c r="A268" s="47" t="s">
        <v>3</v>
      </c>
      <c r="B268" s="48" t="s">
        <v>15</v>
      </c>
      <c r="C268" s="47" t="s">
        <v>7</v>
      </c>
      <c r="D268" s="47" t="s">
        <v>13</v>
      </c>
    </row>
    <row r="269" spans="1:4" x14ac:dyDescent="0.25">
      <c r="A269" s="5"/>
      <c r="B269" s="4"/>
      <c r="C269" s="9"/>
      <c r="D269" s="9"/>
    </row>
    <row r="270" spans="1:4" x14ac:dyDescent="0.25">
      <c r="A270" s="1"/>
      <c r="B270" s="2"/>
      <c r="C270" s="10"/>
      <c r="D270" s="10"/>
    </row>
    <row r="271" spans="1:4" x14ac:dyDescent="0.25">
      <c r="A271" s="1"/>
      <c r="B271" s="2"/>
      <c r="C271" s="10"/>
      <c r="D271" s="10"/>
    </row>
    <row r="272" spans="1:4" x14ac:dyDescent="0.25">
      <c r="A272" s="1"/>
      <c r="B272" s="2"/>
      <c r="C272" s="10"/>
      <c r="D272" s="10"/>
    </row>
    <row r="273" spans="1:4" x14ac:dyDescent="0.25">
      <c r="A273" s="1"/>
      <c r="B273" s="2"/>
      <c r="C273" s="10"/>
      <c r="D273" s="10"/>
    </row>
    <row r="274" spans="1:4" x14ac:dyDescent="0.25">
      <c r="A274" s="1"/>
      <c r="B274" s="2"/>
      <c r="C274" s="10"/>
      <c r="D274" s="10"/>
    </row>
    <row r="275" spans="1:4" x14ac:dyDescent="0.25">
      <c r="A275" s="1"/>
      <c r="B275" s="2"/>
      <c r="C275" s="10"/>
      <c r="D275" s="10"/>
    </row>
    <row r="276" spans="1:4" x14ac:dyDescent="0.25">
      <c r="A276" s="1"/>
      <c r="B276" s="2"/>
      <c r="C276" s="10"/>
      <c r="D276" s="10"/>
    </row>
    <row r="277" spans="1:4" x14ac:dyDescent="0.25">
      <c r="A277" s="1"/>
      <c r="B277" s="2"/>
      <c r="C277" s="10"/>
      <c r="D277" s="10"/>
    </row>
    <row r="278" spans="1:4" x14ac:dyDescent="0.25">
      <c r="A278" s="2"/>
      <c r="B278" s="2"/>
      <c r="C278" s="10"/>
      <c r="D278" s="10"/>
    </row>
    <row r="279" spans="1:4" x14ac:dyDescent="0.25">
      <c r="A279" s="2"/>
      <c r="B279" s="2"/>
      <c r="C279" s="10"/>
      <c r="D279" s="10"/>
    </row>
    <row r="280" spans="1:4" x14ac:dyDescent="0.25">
      <c r="A280" s="2"/>
      <c r="B280" s="2"/>
      <c r="C280" s="10"/>
      <c r="D280" s="10"/>
    </row>
    <row r="281" spans="1:4" x14ac:dyDescent="0.25">
      <c r="A281" s="52"/>
      <c r="B281" s="52"/>
      <c r="C281" s="53"/>
      <c r="D281" s="53"/>
    </row>
    <row r="282" spans="1:4" x14ac:dyDescent="0.25">
      <c r="A282" s="52"/>
      <c r="B282" s="52"/>
      <c r="C282" s="53"/>
      <c r="D282" s="53"/>
    </row>
    <row r="283" spans="1:4" ht="14.25" thickBot="1" x14ac:dyDescent="0.3">
      <c r="A283" s="3"/>
      <c r="B283" s="3"/>
      <c r="C283" s="11"/>
      <c r="D283" s="11"/>
    </row>
    <row r="284" spans="1:4" ht="14.25" thickBot="1" x14ac:dyDescent="0.3">
      <c r="A284" s="49" t="s">
        <v>22</v>
      </c>
      <c r="B284" s="49">
        <f>SUM(B269:B283)</f>
        <v>0</v>
      </c>
      <c r="C284" s="88" t="s">
        <v>28</v>
      </c>
      <c r="D284" s="50"/>
    </row>
    <row r="285" spans="1:4" ht="15" thickBot="1" x14ac:dyDescent="0.35">
      <c r="A285" s="51"/>
      <c r="B285" s="51"/>
      <c r="C285" s="51"/>
      <c r="D285" s="51"/>
    </row>
    <row r="286" spans="1:4" ht="18.75" thickBot="1" x14ac:dyDescent="0.3">
      <c r="A286" s="44" t="s">
        <v>14</v>
      </c>
      <c r="B286" s="45">
        <v>16</v>
      </c>
      <c r="C286" s="46" t="s">
        <v>23</v>
      </c>
      <c r="D286" s="55">
        <f>$D$267+7</f>
        <v>43217</v>
      </c>
    </row>
    <row r="287" spans="1:4" ht="27.75" thickBot="1" x14ac:dyDescent="0.3">
      <c r="A287" s="47" t="s">
        <v>3</v>
      </c>
      <c r="B287" s="48" t="s">
        <v>15</v>
      </c>
      <c r="C287" s="47" t="s">
        <v>7</v>
      </c>
      <c r="D287" s="47" t="s">
        <v>13</v>
      </c>
    </row>
    <row r="288" spans="1:4" x14ac:dyDescent="0.25">
      <c r="A288" s="5"/>
      <c r="B288" s="4"/>
      <c r="C288" s="9"/>
      <c r="D288" s="9"/>
    </row>
    <row r="289" spans="1:4" x14ac:dyDescent="0.25">
      <c r="A289" s="1"/>
      <c r="B289" s="2"/>
      <c r="C289" s="10"/>
      <c r="D289" s="10"/>
    </row>
    <row r="290" spans="1:4" x14ac:dyDescent="0.25">
      <c r="A290" s="1"/>
      <c r="B290" s="2"/>
      <c r="C290" s="10"/>
      <c r="D290" s="10"/>
    </row>
    <row r="291" spans="1:4" x14ac:dyDescent="0.25">
      <c r="A291" s="1"/>
      <c r="B291" s="2"/>
      <c r="C291" s="10"/>
      <c r="D291" s="10"/>
    </row>
    <row r="292" spans="1:4" x14ac:dyDescent="0.25">
      <c r="A292" s="1"/>
      <c r="B292" s="2"/>
      <c r="C292" s="10"/>
      <c r="D292" s="10"/>
    </row>
    <row r="293" spans="1:4" x14ac:dyDescent="0.25">
      <c r="A293" s="1"/>
      <c r="B293" s="2"/>
      <c r="C293" s="10"/>
      <c r="D293" s="10"/>
    </row>
    <row r="294" spans="1:4" x14ac:dyDescent="0.25">
      <c r="A294" s="1"/>
      <c r="B294" s="2"/>
      <c r="C294" s="10"/>
      <c r="D294" s="10"/>
    </row>
    <row r="295" spans="1:4" x14ac:dyDescent="0.25">
      <c r="A295" s="1"/>
      <c r="B295" s="2"/>
      <c r="C295" s="10"/>
      <c r="D295" s="10"/>
    </row>
    <row r="296" spans="1:4" x14ac:dyDescent="0.25">
      <c r="A296" s="1"/>
      <c r="B296" s="2"/>
      <c r="C296" s="10"/>
      <c r="D296" s="10"/>
    </row>
    <row r="297" spans="1:4" x14ac:dyDescent="0.25">
      <c r="A297" s="2"/>
      <c r="B297" s="2"/>
      <c r="C297" s="10"/>
      <c r="D297" s="10"/>
    </row>
    <row r="298" spans="1:4" x14ac:dyDescent="0.25">
      <c r="A298" s="2"/>
      <c r="B298" s="2"/>
      <c r="C298" s="10"/>
      <c r="D298" s="10"/>
    </row>
    <row r="299" spans="1:4" x14ac:dyDescent="0.25">
      <c r="A299" s="2"/>
      <c r="B299" s="2"/>
      <c r="C299" s="10"/>
      <c r="D299" s="10"/>
    </row>
    <row r="300" spans="1:4" x14ac:dyDescent="0.25">
      <c r="A300" s="52"/>
      <c r="B300" s="52"/>
      <c r="C300" s="53"/>
      <c r="D300" s="53"/>
    </row>
    <row r="301" spans="1:4" x14ac:dyDescent="0.25">
      <c r="A301" s="52"/>
      <c r="B301" s="52"/>
      <c r="C301" s="53"/>
      <c r="D301" s="53"/>
    </row>
    <row r="302" spans="1:4" ht="14.25" thickBot="1" x14ac:dyDescent="0.3">
      <c r="A302" s="3"/>
      <c r="B302" s="3"/>
      <c r="C302" s="11"/>
      <c r="D302" s="11"/>
    </row>
    <row r="303" spans="1:4" ht="14.25" thickBot="1" x14ac:dyDescent="0.3">
      <c r="A303" s="49" t="s">
        <v>22</v>
      </c>
      <c r="B303" s="49">
        <f>SUM(B288:B302)</f>
        <v>0</v>
      </c>
      <c r="C303" s="88" t="s">
        <v>28</v>
      </c>
      <c r="D303" s="50"/>
    </row>
    <row r="304" spans="1:4" ht="15" thickBot="1" x14ac:dyDescent="0.35">
      <c r="A304" s="51"/>
      <c r="B304" s="51"/>
      <c r="C304" s="51"/>
      <c r="D304" s="51"/>
    </row>
    <row r="305" spans="1:4" ht="18.75" thickBot="1" x14ac:dyDescent="0.3">
      <c r="A305" s="44" t="s">
        <v>14</v>
      </c>
      <c r="B305" s="45">
        <v>17</v>
      </c>
      <c r="C305" s="46" t="s">
        <v>23</v>
      </c>
      <c r="D305" s="55">
        <f>$D$286+7</f>
        <v>43224</v>
      </c>
    </row>
    <row r="306" spans="1:4" ht="27.75" thickBot="1" x14ac:dyDescent="0.3">
      <c r="A306" s="47" t="s">
        <v>3</v>
      </c>
      <c r="B306" s="48" t="s">
        <v>15</v>
      </c>
      <c r="C306" s="47" t="s">
        <v>7</v>
      </c>
      <c r="D306" s="47" t="s">
        <v>13</v>
      </c>
    </row>
    <row r="307" spans="1:4" x14ac:dyDescent="0.25">
      <c r="A307" s="5"/>
      <c r="B307" s="4"/>
      <c r="C307" s="9"/>
      <c r="D307" s="9"/>
    </row>
    <row r="308" spans="1:4" x14ac:dyDescent="0.25">
      <c r="A308" s="1"/>
      <c r="B308" s="2"/>
      <c r="C308" s="10"/>
      <c r="D308" s="10"/>
    </row>
    <row r="309" spans="1:4" x14ac:dyDescent="0.25">
      <c r="A309" s="1"/>
      <c r="B309" s="2"/>
      <c r="C309" s="10"/>
      <c r="D309" s="10"/>
    </row>
    <row r="310" spans="1:4" x14ac:dyDescent="0.25">
      <c r="A310" s="1"/>
      <c r="B310" s="2"/>
      <c r="C310" s="10"/>
      <c r="D310" s="10"/>
    </row>
    <row r="311" spans="1:4" x14ac:dyDescent="0.25">
      <c r="A311" s="1"/>
      <c r="B311" s="2"/>
      <c r="C311" s="10"/>
      <c r="D311" s="10"/>
    </row>
    <row r="312" spans="1:4" x14ac:dyDescent="0.25">
      <c r="A312" s="1"/>
      <c r="B312" s="2"/>
      <c r="C312" s="10"/>
      <c r="D312" s="10"/>
    </row>
    <row r="313" spans="1:4" x14ac:dyDescent="0.25">
      <c r="A313" s="1"/>
      <c r="B313" s="2"/>
      <c r="C313" s="10"/>
      <c r="D313" s="10"/>
    </row>
    <row r="314" spans="1:4" x14ac:dyDescent="0.25">
      <c r="A314" s="1"/>
      <c r="B314" s="2"/>
      <c r="C314" s="10"/>
      <c r="D314" s="10"/>
    </row>
    <row r="315" spans="1:4" x14ac:dyDescent="0.25">
      <c r="A315" s="1"/>
      <c r="B315" s="2"/>
      <c r="C315" s="10"/>
      <c r="D315" s="10"/>
    </row>
    <row r="316" spans="1:4" x14ac:dyDescent="0.25">
      <c r="A316" s="2"/>
      <c r="B316" s="2"/>
      <c r="C316" s="10"/>
      <c r="D316" s="10"/>
    </row>
    <row r="317" spans="1:4" x14ac:dyDescent="0.25">
      <c r="A317" s="2"/>
      <c r="B317" s="2"/>
      <c r="C317" s="10"/>
      <c r="D317" s="10"/>
    </row>
    <row r="318" spans="1:4" x14ac:dyDescent="0.25">
      <c r="A318" s="2"/>
      <c r="B318" s="2"/>
      <c r="C318" s="10"/>
      <c r="D318" s="10"/>
    </row>
    <row r="319" spans="1:4" x14ac:dyDescent="0.25">
      <c r="A319" s="52"/>
      <c r="B319" s="52"/>
      <c r="C319" s="53"/>
      <c r="D319" s="53"/>
    </row>
    <row r="320" spans="1:4" x14ac:dyDescent="0.25">
      <c r="A320" s="52"/>
      <c r="B320" s="52"/>
      <c r="C320" s="53"/>
      <c r="D320" s="53"/>
    </row>
    <row r="321" spans="1:4" ht="14.25" thickBot="1" x14ac:dyDescent="0.3">
      <c r="A321" s="3"/>
      <c r="B321" s="3"/>
      <c r="C321" s="11"/>
      <c r="D321" s="11"/>
    </row>
    <row r="322" spans="1:4" ht="14.25" thickBot="1" x14ac:dyDescent="0.3">
      <c r="A322" s="49" t="s">
        <v>22</v>
      </c>
      <c r="B322" s="49">
        <f>SUM(B307:B321)</f>
        <v>0</v>
      </c>
      <c r="C322" s="88" t="s">
        <v>28</v>
      </c>
      <c r="D322" s="50"/>
    </row>
    <row r="323" spans="1:4" ht="14.25" x14ac:dyDescent="0.3">
      <c r="A323" s="51"/>
      <c r="B323" s="51"/>
      <c r="C323" s="51"/>
      <c r="D323" s="51"/>
    </row>
    <row r="324" spans="1:4" x14ac:dyDescent="0.25">
      <c r="A324" s="89"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B155:B169 B174:B188 B193:B207 B212:B226 B231:B245 B250:B264 B269:B283 B288:B302 B307:B321">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B170 B189 B208 B227 B246 B265 B284 B303 B322">
      <formula1>0</formula1>
      <formula2>NbPerWeek * NbQuartPer</formula2>
    </dataValidation>
    <dataValidation type="list" allowBlank="1" showInputMessage="1" showErrorMessage="1" sqref="A3:A17 A22:A36 A41:A55 A60:A74 A79:A93 A98:A112 A117:A131 A136:A150 A155:A169 A174:A188 A193:A207 A212:A226 A231:A245 A250:A264 A269:A283 A288:A302 A307:A321">
      <formula1>lstTasks</formula1>
    </dataValidation>
  </dataValidations>
  <hyperlinks>
    <hyperlink ref="D3" r:id="rId1"/>
    <hyperlink ref="D4" r:id="rId2" display="script.sql"/>
    <hyperlink ref="D22" r:id="rId3"/>
    <hyperlink ref="D24" r:id="rId4"/>
    <hyperlink ref="D25" r:id="rId5"/>
    <hyperlink ref="D27" r:id="rId6"/>
    <hyperlink ref="D60" r:id="rId7"/>
    <hyperlink ref="D62" r:id="rId8"/>
  </hyperlinks>
  <pageMargins left="0.7" right="0.7" top="0.75" bottom="0.75" header="0.3" footer="0.3"/>
  <pageSetup paperSize="9" orientation="portrait" r:id="rId9"/>
  <drawing r:id="rId10"/>
  <legacyDrawing r:id="rId11"/>
  <controls>
    <mc:AlternateContent xmlns:mc="http://schemas.openxmlformats.org/markup-compatibility/2006">
      <mc:Choice Requires="x14">
        <control shapeId="41985" r:id="rId12" name="btnImportRealisation">
          <controlPr defaultSize="0" autoLine="0" autoPict="0" r:id="rId13">
            <anchor moveWithCells="1">
              <from>
                <xdr:col>4</xdr:col>
                <xdr:colOff>590550</xdr:colOff>
                <xdr:row>0</xdr:row>
                <xdr:rowOff>180975</xdr:rowOff>
              </from>
              <to>
                <xdr:col>7</xdr:col>
                <xdr:colOff>190500</xdr:colOff>
                <xdr:row>2</xdr:row>
                <xdr:rowOff>228600</xdr:rowOff>
              </to>
            </anchor>
          </controlPr>
        </control>
      </mc:Choice>
      <mc:Fallback>
        <control shapeId="41985" r:id="rId12" name="btnImportRealis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10</vt:i4>
      </vt:variant>
    </vt:vector>
  </HeadingPairs>
  <TitlesOfParts>
    <vt:vector size="16" baseType="lpstr">
      <vt:lpstr>Donnees</vt:lpstr>
      <vt:lpstr>DiagramHeader</vt:lpstr>
      <vt:lpstr>DiagramFooter</vt:lpstr>
      <vt:lpstr>PlanificationWeek</vt:lpstr>
      <vt:lpstr>achievementWeek</vt:lpstr>
      <vt:lpstr>JNLTRAV</vt:lpstr>
      <vt:lpstr>datDateBegin</vt:lpstr>
      <vt:lpstr>lstTasks</vt:lpstr>
      <vt:lpstr>NbPerWeek</vt:lpstr>
      <vt:lpstr>NbQuartPer</vt:lpstr>
      <vt:lpstr>NbWeeks</vt:lpstr>
      <vt:lpstr>objFooterDiagram</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Silvestri Géraud</dc:creator>
  <cp:lastModifiedBy>Silvestri Géraud</cp:lastModifiedBy>
  <cp:lastPrinted>2013-08-29T11:33:15Z</cp:lastPrinted>
  <dcterms:created xsi:type="dcterms:W3CDTF">1996-10-21T11:03:58Z</dcterms:created>
  <dcterms:modified xsi:type="dcterms:W3CDTF">2018-02-02T10:08:06Z</dcterms:modified>
</cp:coreProperties>
</file>